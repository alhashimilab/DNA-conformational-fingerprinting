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sula1/OrsDocs/OrsDocs_since_Jan2025/2025-Sequence-dependence/2025-Data-Deposition/dG-delta-melt/"/>
    </mc:Choice>
  </mc:AlternateContent>
  <xr:revisionPtr revIDLastSave="0" documentId="13_ncr:1_{E7A3D169-0CF0-B94A-9629-41F054A0685E}" xr6:coauthVersionLast="47" xr6:coauthVersionMax="47" xr10:uidLastSave="{00000000-0000-0000-0000-000000000000}"/>
  <bookViews>
    <workbookView xWindow="780" yWindow="2200" windowWidth="29460" windowHeight="15480" activeTab="1" xr2:uid="{6EAFC7E4-5B19-4CE1-8865-C37758D1FD1A}"/>
  </bookViews>
  <sheets>
    <sheet name="GC" sheetId="2" r:id="rId1"/>
    <sheet name="G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1" i="3" l="1"/>
  <c r="AV11" i="3"/>
  <c r="AO11" i="3"/>
  <c r="AN11" i="3"/>
  <c r="AG11" i="3"/>
  <c r="AF11" i="3"/>
  <c r="AX13" i="3"/>
  <c r="AW13" i="3"/>
  <c r="AV13" i="3"/>
  <c r="AP13" i="3"/>
  <c r="AO13" i="3"/>
  <c r="AN13" i="3"/>
  <c r="AH13" i="3"/>
  <c r="AG13" i="3"/>
  <c r="AF13" i="3"/>
  <c r="AY3" i="3"/>
  <c r="AA3" i="3"/>
  <c r="AB3" i="3"/>
  <c r="AA4" i="3"/>
  <c r="AB4" i="3"/>
  <c r="AA5" i="3"/>
  <c r="AB5" i="3"/>
  <c r="AA7" i="3"/>
  <c r="AB7" i="3"/>
  <c r="AA8" i="3"/>
  <c r="AB8" i="3"/>
  <c r="AA9" i="3"/>
  <c r="AB9" i="3"/>
  <c r="AA10" i="3"/>
  <c r="AB10" i="3"/>
  <c r="AA11" i="3"/>
  <c r="AB11" i="3"/>
  <c r="AA12" i="3"/>
  <c r="AB12" i="3"/>
  <c r="AA13" i="3"/>
  <c r="AB13" i="3"/>
  <c r="AA14" i="3"/>
  <c r="AB14" i="3"/>
  <c r="AA15" i="3"/>
  <c r="AB15" i="3"/>
  <c r="AA16" i="3"/>
  <c r="AB16" i="3"/>
  <c r="AA17" i="3"/>
  <c r="AB17" i="3"/>
  <c r="AB2" i="3"/>
  <c r="AA2" i="3"/>
  <c r="S3" i="3"/>
  <c r="T3" i="3"/>
  <c r="S4" i="3"/>
  <c r="T4" i="3"/>
  <c r="S5" i="3"/>
  <c r="T5" i="3"/>
  <c r="S7" i="3"/>
  <c r="T7" i="3"/>
  <c r="S8" i="3"/>
  <c r="T8" i="3"/>
  <c r="S9" i="3"/>
  <c r="T9" i="3"/>
  <c r="S10" i="3"/>
  <c r="T10" i="3"/>
  <c r="S11" i="3"/>
  <c r="T11" i="3"/>
  <c r="S12" i="3"/>
  <c r="T12" i="3"/>
  <c r="S13" i="3"/>
  <c r="T13" i="3"/>
  <c r="S14" i="3"/>
  <c r="T14" i="3"/>
  <c r="S15" i="3"/>
  <c r="T15" i="3"/>
  <c r="S16" i="3"/>
  <c r="T16" i="3"/>
  <c r="S17" i="3"/>
  <c r="T17" i="3"/>
  <c r="T2" i="3"/>
  <c r="S2" i="3"/>
  <c r="K3" i="3"/>
  <c r="L3" i="3"/>
  <c r="K4" i="3"/>
  <c r="L4" i="3"/>
  <c r="K5" i="3"/>
  <c r="L5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L2" i="3"/>
  <c r="K2" i="3"/>
  <c r="AQ13" i="2"/>
  <c r="AJ13" i="2"/>
  <c r="AC13" i="2"/>
  <c r="AR10" i="2"/>
  <c r="AQ10" i="2"/>
  <c r="AK10" i="2"/>
  <c r="AJ10" i="2"/>
  <c r="AD10" i="2"/>
  <c r="AC10" i="2"/>
  <c r="X3" i="2"/>
  <c r="Y3" i="2"/>
  <c r="X4" i="2"/>
  <c r="Y4" i="2"/>
  <c r="X5" i="2"/>
  <c r="Y5" i="2"/>
  <c r="X7" i="2"/>
  <c r="Y7" i="2"/>
  <c r="X8" i="2"/>
  <c r="Y8" i="2"/>
  <c r="X9" i="2"/>
  <c r="Y9" i="2"/>
  <c r="X10" i="2"/>
  <c r="Y10" i="2"/>
  <c r="X11" i="2"/>
  <c r="Y11" i="2"/>
  <c r="X12" i="2"/>
  <c r="Y12" i="2"/>
  <c r="X13" i="2"/>
  <c r="Y13" i="2"/>
  <c r="X14" i="2"/>
  <c r="Y14" i="2"/>
  <c r="X15" i="2"/>
  <c r="Y15" i="2"/>
  <c r="X16" i="2"/>
  <c r="Y16" i="2"/>
  <c r="X17" i="2"/>
  <c r="Y17" i="2"/>
  <c r="Y2" i="2"/>
  <c r="X2" i="2"/>
  <c r="R10" i="2"/>
  <c r="Q10" i="2"/>
  <c r="Q3" i="2"/>
  <c r="R3" i="2"/>
  <c r="Q4" i="2"/>
  <c r="R4" i="2"/>
  <c r="Q5" i="2"/>
  <c r="R5" i="2"/>
  <c r="Q7" i="2"/>
  <c r="R7" i="2"/>
  <c r="Q8" i="2"/>
  <c r="R8" i="2"/>
  <c r="Q9" i="2"/>
  <c r="R9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R2" i="2"/>
  <c r="Q2" i="2"/>
  <c r="J3" i="2"/>
  <c r="K3" i="2"/>
  <c r="J4" i="2"/>
  <c r="K4" i="2"/>
  <c r="J5" i="2"/>
  <c r="K5" i="2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K2" i="2"/>
  <c r="J2" i="2"/>
  <c r="AV7" i="3"/>
  <c r="AN7" i="3"/>
  <c r="AF7" i="3"/>
  <c r="AW16" i="3"/>
  <c r="AV16" i="3"/>
  <c r="AO16" i="3"/>
  <c r="AN16" i="3"/>
  <c r="AG16" i="3"/>
  <c r="AF16" i="3"/>
  <c r="AS3" i="3"/>
  <c r="AT3" i="3"/>
  <c r="AU3" i="3"/>
  <c r="AS4" i="3"/>
  <c r="AT4" i="3"/>
  <c r="AU4" i="3"/>
  <c r="AS5" i="3"/>
  <c r="AT5" i="3"/>
  <c r="AU5" i="3"/>
  <c r="AS7" i="3"/>
  <c r="AT7" i="3"/>
  <c r="AU7" i="3"/>
  <c r="AS8" i="3"/>
  <c r="AT8" i="3"/>
  <c r="AU8" i="3"/>
  <c r="AS9" i="3"/>
  <c r="AT9" i="3"/>
  <c r="AU9" i="3"/>
  <c r="AS10" i="3"/>
  <c r="AT10" i="3"/>
  <c r="AU10" i="3"/>
  <c r="AS11" i="3"/>
  <c r="AT11" i="3"/>
  <c r="AU11" i="3"/>
  <c r="AS12" i="3"/>
  <c r="AT12" i="3"/>
  <c r="AU12" i="3"/>
  <c r="AS13" i="3"/>
  <c r="AT13" i="3"/>
  <c r="AU13" i="3"/>
  <c r="AS14" i="3"/>
  <c r="AT14" i="3"/>
  <c r="AU14" i="3"/>
  <c r="AS15" i="3"/>
  <c r="AT15" i="3"/>
  <c r="AU15" i="3"/>
  <c r="AS16" i="3"/>
  <c r="AT16" i="3"/>
  <c r="AU16" i="3"/>
  <c r="AS17" i="3"/>
  <c r="AT17" i="3"/>
  <c r="AU17" i="3"/>
  <c r="AK3" i="3"/>
  <c r="AL3" i="3"/>
  <c r="AM3" i="3"/>
  <c r="AK4" i="3"/>
  <c r="AR4" i="3" s="1"/>
  <c r="AL4" i="3"/>
  <c r="AM4" i="3"/>
  <c r="AK5" i="3"/>
  <c r="AL5" i="3"/>
  <c r="AM5" i="3"/>
  <c r="AQ5" i="3" s="1"/>
  <c r="AK7" i="3"/>
  <c r="AL7" i="3"/>
  <c r="AM7" i="3"/>
  <c r="AK8" i="3"/>
  <c r="AQ8" i="3" s="1"/>
  <c r="AL8" i="3"/>
  <c r="AM8" i="3"/>
  <c r="AK9" i="3"/>
  <c r="AL9" i="3"/>
  <c r="AM9" i="3"/>
  <c r="AQ9" i="3" s="1"/>
  <c r="AK10" i="3"/>
  <c r="AL10" i="3"/>
  <c r="AM10" i="3"/>
  <c r="AK11" i="3"/>
  <c r="AL11" i="3"/>
  <c r="AM11" i="3"/>
  <c r="AK12" i="3"/>
  <c r="AL12" i="3"/>
  <c r="AM12" i="3"/>
  <c r="AK13" i="3"/>
  <c r="AL13" i="3"/>
  <c r="AM13" i="3"/>
  <c r="AK14" i="3"/>
  <c r="AL14" i="3"/>
  <c r="AM14" i="3"/>
  <c r="AK15" i="3"/>
  <c r="AL15" i="3"/>
  <c r="AM15" i="3"/>
  <c r="AK16" i="3"/>
  <c r="AL16" i="3"/>
  <c r="AM16" i="3"/>
  <c r="AK17" i="3"/>
  <c r="AL17" i="3"/>
  <c r="AM17" i="3"/>
  <c r="AC3" i="3"/>
  <c r="AD3" i="3"/>
  <c r="AE3" i="3"/>
  <c r="AC4" i="3"/>
  <c r="AD4" i="3"/>
  <c r="AE4" i="3"/>
  <c r="AC5" i="3"/>
  <c r="AD5" i="3"/>
  <c r="AE5" i="3"/>
  <c r="AC7" i="3"/>
  <c r="AD7" i="3"/>
  <c r="AE7" i="3"/>
  <c r="AC8" i="3"/>
  <c r="AD8" i="3"/>
  <c r="AE8" i="3"/>
  <c r="AC9" i="3"/>
  <c r="AD9" i="3"/>
  <c r="AE9" i="3"/>
  <c r="AC10" i="3"/>
  <c r="AD10" i="3"/>
  <c r="AE10" i="3"/>
  <c r="AI10" i="3" s="1"/>
  <c r="AC11" i="3"/>
  <c r="AD11" i="3"/>
  <c r="AE11" i="3"/>
  <c r="AC12" i="3"/>
  <c r="AD12" i="3"/>
  <c r="AE12" i="3"/>
  <c r="AC13" i="3"/>
  <c r="AD13" i="3"/>
  <c r="AE13" i="3"/>
  <c r="AC14" i="3"/>
  <c r="AD14" i="3"/>
  <c r="AE14" i="3"/>
  <c r="AI14" i="3" s="1"/>
  <c r="AC15" i="3"/>
  <c r="AD15" i="3"/>
  <c r="AE15" i="3"/>
  <c r="AC16" i="3"/>
  <c r="AD16" i="3"/>
  <c r="AE16" i="3"/>
  <c r="AC17" i="3"/>
  <c r="AD17" i="3"/>
  <c r="AE17" i="3"/>
  <c r="AN16" i="2"/>
  <c r="AT16" i="2" s="1"/>
  <c r="AO16" i="2"/>
  <c r="AP16" i="2"/>
  <c r="AG16" i="2"/>
  <c r="AH16" i="2"/>
  <c r="AI16" i="2"/>
  <c r="AL16" i="2" s="1"/>
  <c r="Z16" i="2"/>
  <c r="AA16" i="2"/>
  <c r="AB16" i="2"/>
  <c r="AV15" i="3"/>
  <c r="AN15" i="3"/>
  <c r="AF15" i="3"/>
  <c r="AQ15" i="2"/>
  <c r="AJ15" i="2"/>
  <c r="AC15" i="2"/>
  <c r="Z2" i="2"/>
  <c r="AA2" i="2"/>
  <c r="AB2" i="2"/>
  <c r="AG2" i="2"/>
  <c r="AH2" i="2"/>
  <c r="AI2" i="2"/>
  <c r="AN2" i="2"/>
  <c r="AO2" i="2"/>
  <c r="AP2" i="2"/>
  <c r="AT2" i="2" s="1"/>
  <c r="Z3" i="2"/>
  <c r="AA3" i="2"/>
  <c r="AB3" i="2"/>
  <c r="AG3" i="2"/>
  <c r="AH3" i="2"/>
  <c r="AI3" i="2"/>
  <c r="AN3" i="2"/>
  <c r="AS3" i="2" s="1"/>
  <c r="AO3" i="2"/>
  <c r="AP3" i="2"/>
  <c r="Z4" i="2"/>
  <c r="AA4" i="2"/>
  <c r="AB4" i="2"/>
  <c r="AE4" i="2" s="1"/>
  <c r="AG4" i="2"/>
  <c r="AH4" i="2"/>
  <c r="AI4" i="2"/>
  <c r="AN4" i="2"/>
  <c r="AO4" i="2"/>
  <c r="AP4" i="2"/>
  <c r="Z5" i="2"/>
  <c r="AA5" i="2"/>
  <c r="AB5" i="2"/>
  <c r="AG5" i="2"/>
  <c r="AH5" i="2"/>
  <c r="AI5" i="2"/>
  <c r="AN5" i="2"/>
  <c r="AO5" i="2"/>
  <c r="AP5" i="2"/>
  <c r="Z7" i="2"/>
  <c r="AA7" i="2"/>
  <c r="AB7" i="2"/>
  <c r="AG7" i="2"/>
  <c r="AH7" i="2"/>
  <c r="AI7" i="2"/>
  <c r="AM7" i="2" s="1"/>
  <c r="AN7" i="2"/>
  <c r="AO7" i="2"/>
  <c r="AP7" i="2"/>
  <c r="Z8" i="2"/>
  <c r="AA8" i="2"/>
  <c r="AB8" i="2"/>
  <c r="AG8" i="2"/>
  <c r="AH8" i="2"/>
  <c r="AI8" i="2"/>
  <c r="AN8" i="2"/>
  <c r="AO8" i="2"/>
  <c r="AP8" i="2"/>
  <c r="Z9" i="2"/>
  <c r="AA9" i="2"/>
  <c r="AB9" i="2"/>
  <c r="AG9" i="2"/>
  <c r="AH9" i="2"/>
  <c r="AI9" i="2"/>
  <c r="AN9" i="2"/>
  <c r="AO9" i="2"/>
  <c r="AP9" i="2"/>
  <c r="Z10" i="2"/>
  <c r="AA10" i="2"/>
  <c r="AB10" i="2"/>
  <c r="AG10" i="2"/>
  <c r="AH10" i="2"/>
  <c r="AI10" i="2"/>
  <c r="AN10" i="2"/>
  <c r="AO10" i="2"/>
  <c r="AP10" i="2"/>
  <c r="Z11" i="2"/>
  <c r="AA11" i="2"/>
  <c r="AB11" i="2"/>
  <c r="AG11" i="2"/>
  <c r="AH11" i="2"/>
  <c r="AI11" i="2"/>
  <c r="AN11" i="2"/>
  <c r="AO11" i="2"/>
  <c r="AP11" i="2"/>
  <c r="Z12" i="2"/>
  <c r="AA12" i="2"/>
  <c r="AB12" i="2"/>
  <c r="AG12" i="2"/>
  <c r="AH12" i="2"/>
  <c r="AI12" i="2"/>
  <c r="AN12" i="2"/>
  <c r="AO12" i="2"/>
  <c r="AP12" i="2"/>
  <c r="Z13" i="2"/>
  <c r="AA13" i="2"/>
  <c r="AB13" i="2"/>
  <c r="AG13" i="2"/>
  <c r="AH13" i="2"/>
  <c r="AI13" i="2"/>
  <c r="AN13" i="2"/>
  <c r="AO13" i="2"/>
  <c r="AP13" i="2"/>
  <c r="Z14" i="2"/>
  <c r="AA14" i="2"/>
  <c r="AB14" i="2"/>
  <c r="AC14" i="2"/>
  <c r="AG14" i="2"/>
  <c r="AH14" i="2"/>
  <c r="AI14" i="2"/>
  <c r="AJ14" i="2"/>
  <c r="AN14" i="2"/>
  <c r="AO14" i="2"/>
  <c r="AP14" i="2"/>
  <c r="AQ14" i="2"/>
  <c r="Z15" i="2"/>
  <c r="AA15" i="2"/>
  <c r="AB15" i="2"/>
  <c r="AG15" i="2"/>
  <c r="AM15" i="2" s="1"/>
  <c r="AH15" i="2"/>
  <c r="AI15" i="2"/>
  <c r="AN15" i="2"/>
  <c r="AO15" i="2"/>
  <c r="AP15" i="2"/>
  <c r="Z17" i="2"/>
  <c r="AA17" i="2"/>
  <c r="AB17" i="2"/>
  <c r="AG17" i="2"/>
  <c r="AH17" i="2"/>
  <c r="AI17" i="2"/>
  <c r="AN17" i="2"/>
  <c r="AO17" i="2"/>
  <c r="AP17" i="2"/>
  <c r="AV17" i="3"/>
  <c r="AN17" i="3"/>
  <c r="AF17" i="3"/>
  <c r="AU2" i="3"/>
  <c r="AT2" i="3"/>
  <c r="AS2" i="3"/>
  <c r="AZ2" i="3" s="1"/>
  <c r="AM2" i="3"/>
  <c r="AL2" i="3"/>
  <c r="AK2" i="3"/>
  <c r="AE2" i="3"/>
  <c r="AJ2" i="3" s="1"/>
  <c r="AD2" i="3"/>
  <c r="AC2" i="3"/>
  <c r="AM14" i="2" l="1"/>
  <c r="AE9" i="2"/>
  <c r="AS4" i="2"/>
  <c r="AE15" i="2"/>
  <c r="AL4" i="2"/>
  <c r="AL8" i="2"/>
  <c r="AT8" i="2"/>
  <c r="AF16" i="2"/>
  <c r="AM16" i="2"/>
  <c r="AS17" i="2"/>
  <c r="AE8" i="2"/>
  <c r="AS16" i="2"/>
  <c r="AI5" i="3"/>
  <c r="AI8" i="3"/>
  <c r="AQ3" i="3"/>
  <c r="AR9" i="3"/>
  <c r="AQ4" i="3"/>
  <c r="AI2" i="3"/>
  <c r="AY7" i="3"/>
  <c r="AR8" i="3"/>
  <c r="AY5" i="3"/>
  <c r="AZ8" i="3"/>
  <c r="AJ10" i="3"/>
  <c r="AR10" i="3"/>
  <c r="AJ14" i="3"/>
  <c r="AJ9" i="3"/>
  <c r="AY16" i="3"/>
  <c r="AY14" i="3"/>
  <c r="AJ17" i="3"/>
  <c r="AY17" i="3"/>
  <c r="AR5" i="3"/>
  <c r="AI3" i="3"/>
  <c r="AJ15" i="3"/>
  <c r="AY15" i="3"/>
  <c r="AQ16" i="3"/>
  <c r="AZ14" i="3"/>
  <c r="AY4" i="3"/>
  <c r="AJ7" i="3"/>
  <c r="AZ3" i="3"/>
  <c r="AI16" i="3"/>
  <c r="AZ16" i="3"/>
  <c r="AI7" i="3"/>
  <c r="AZ7" i="3"/>
  <c r="AI4" i="3"/>
  <c r="AZ10" i="3"/>
  <c r="AI9" i="3"/>
  <c r="AQ14" i="3"/>
  <c r="AY9" i="3"/>
  <c r="AR15" i="3"/>
  <c r="AQ15" i="3"/>
  <c r="AY10" i="3"/>
  <c r="AR2" i="3"/>
  <c r="AI15" i="3"/>
  <c r="AQ17" i="3"/>
  <c r="AQ13" i="3"/>
  <c r="AQ10" i="3"/>
  <c r="AR7" i="3"/>
  <c r="AZ12" i="3"/>
  <c r="AY8" i="3"/>
  <c r="AZ15" i="3"/>
  <c r="AJ4" i="3"/>
  <c r="AZ5" i="3"/>
  <c r="AQ2" i="3"/>
  <c r="AJ5" i="3"/>
  <c r="AY2" i="3"/>
  <c r="AI17" i="3"/>
  <c r="AQ7" i="3"/>
  <c r="AR16" i="3"/>
  <c r="AR3" i="3"/>
  <c r="AY13" i="3"/>
  <c r="AJ16" i="3"/>
  <c r="AJ8" i="3"/>
  <c r="AJ3" i="3"/>
  <c r="AR14" i="3"/>
  <c r="AZ17" i="3"/>
  <c r="AZ9" i="3"/>
  <c r="AZ4" i="3"/>
  <c r="AR17" i="3"/>
  <c r="AR13" i="3"/>
  <c r="AR12" i="3"/>
  <c r="AF4" i="2"/>
  <c r="AM17" i="2"/>
  <c r="AL14" i="2"/>
  <c r="AE10" i="2"/>
  <c r="AS5" i="2"/>
  <c r="AM2" i="2"/>
  <c r="AL17" i="2"/>
  <c r="AT5" i="2"/>
  <c r="AF15" i="2"/>
  <c r="AS9" i="2"/>
  <c r="AS7" i="2"/>
  <c r="AL3" i="2"/>
  <c r="AL7" i="2"/>
  <c r="AE2" i="2"/>
  <c r="AS15" i="2"/>
  <c r="AS14" i="2"/>
  <c r="AL9" i="2"/>
  <c r="AF5" i="2"/>
  <c r="AF9" i="2"/>
  <c r="AT17" i="2"/>
  <c r="AF14" i="2"/>
  <c r="AT9" i="2"/>
  <c r="AM8" i="2"/>
  <c r="AL15" i="2"/>
  <c r="AE7" i="2"/>
  <c r="AS2" i="2"/>
  <c r="AF17" i="2"/>
  <c r="AL5" i="2"/>
  <c r="AE14" i="2"/>
  <c r="AE3" i="2"/>
  <c r="AT4" i="2"/>
  <c r="AT3" i="2"/>
  <c r="AE5" i="2"/>
  <c r="AS8" i="2"/>
  <c r="AF3" i="2"/>
  <c r="AM4" i="2"/>
  <c r="AL13" i="2"/>
  <c r="AE16" i="2"/>
  <c r="AS12" i="2"/>
  <c r="AF8" i="2"/>
  <c r="AT7" i="2"/>
  <c r="AS11" i="2"/>
  <c r="AE17" i="2"/>
  <c r="AF7" i="2"/>
  <c r="AL2" i="2"/>
  <c r="AM9" i="2"/>
  <c r="AM3" i="2"/>
  <c r="AT14" i="2"/>
  <c r="AM5" i="2"/>
  <c r="AS13" i="2"/>
  <c r="AF2" i="2"/>
  <c r="AT15" i="2"/>
  <c r="AL12" i="2"/>
  <c r="AJ12" i="3"/>
  <c r="AY12" i="3"/>
  <c r="AQ12" i="3"/>
  <c r="AI12" i="3"/>
  <c r="AE12" i="2"/>
  <c r="AF12" i="2"/>
  <c r="AM12" i="2"/>
  <c r="AT12" i="2"/>
  <c r="AQ11" i="3"/>
  <c r="AY11" i="3"/>
  <c r="AR11" i="3"/>
  <c r="AI11" i="3"/>
  <c r="AZ11" i="3"/>
  <c r="AJ11" i="3"/>
  <c r="AL11" i="2"/>
  <c r="AE11" i="2"/>
  <c r="AF11" i="2"/>
  <c r="AM11" i="2"/>
  <c r="AT11" i="2"/>
  <c r="AI13" i="3"/>
  <c r="AZ13" i="3"/>
  <c r="AJ13" i="3"/>
  <c r="AE13" i="2"/>
  <c r="AF13" i="2"/>
  <c r="AT13" i="2"/>
  <c r="AM13" i="2"/>
  <c r="AL10" i="2"/>
  <c r="AS10" i="2"/>
  <c r="AM10" i="2"/>
  <c r="AF10" i="2"/>
  <c r="AT10" i="2"/>
</calcChain>
</file>

<file path=xl/sharedStrings.xml><?xml version="1.0" encoding="utf-8"?>
<sst xmlns="http://schemas.openxmlformats.org/spreadsheetml/2006/main" count="226" uniqueCount="132">
  <si>
    <t>Sequence Context</t>
  </si>
  <si>
    <t>CAGAT</t>
  </si>
  <si>
    <t>CAGGT</t>
  </si>
  <si>
    <t>CAGTT</t>
  </si>
  <si>
    <t>CAGCT</t>
  </si>
  <si>
    <t>CGGAT</t>
  </si>
  <si>
    <t>CGGGT</t>
  </si>
  <si>
    <t>CGGTT</t>
  </si>
  <si>
    <t>CGGCT</t>
  </si>
  <si>
    <t>CTGAT</t>
  </si>
  <si>
    <t>CTGGT</t>
  </si>
  <si>
    <t>CTGTT</t>
  </si>
  <si>
    <t>CTGCT</t>
  </si>
  <si>
    <t>CCGAT</t>
  </si>
  <si>
    <t>CCGGT</t>
  </si>
  <si>
    <t>CCGTT</t>
  </si>
  <si>
    <t>CCGCT</t>
  </si>
  <si>
    <t>ATCTG</t>
  </si>
  <si>
    <t>ACCTG</t>
  </si>
  <si>
    <t>AACTG</t>
  </si>
  <si>
    <t>AGCTG</t>
  </si>
  <si>
    <t>ATCCG</t>
  </si>
  <si>
    <t>ACCCG</t>
  </si>
  <si>
    <t>AACCG</t>
  </si>
  <si>
    <t>AGCCG</t>
  </si>
  <si>
    <t>ATCAG</t>
  </si>
  <si>
    <t>ACCAG</t>
  </si>
  <si>
    <t>AACAG</t>
  </si>
  <si>
    <t>AGCAG</t>
  </si>
  <si>
    <t>ATCGG</t>
  </si>
  <si>
    <t>ACCGG</t>
  </si>
  <si>
    <t>AACGG</t>
  </si>
  <si>
    <t>AGCGG</t>
  </si>
  <si>
    <t>dG25</t>
  </si>
  <si>
    <t>dG37</t>
  </si>
  <si>
    <t>dG1</t>
  </si>
  <si>
    <t>Tm_avg</t>
  </si>
  <si>
    <t>Tm_std</t>
  </si>
  <si>
    <t>dH_avg</t>
  </si>
  <si>
    <t>dH_std</t>
  </si>
  <si>
    <t>dS_avg</t>
  </si>
  <si>
    <t>dS_std</t>
  </si>
  <si>
    <r>
      <t>AT</t>
    </r>
    <r>
      <rPr>
        <sz val="11"/>
        <color rgb="FFFF0000"/>
        <rFont val="Arial"/>
        <family val="2"/>
      </rPr>
      <t>T</t>
    </r>
    <r>
      <rPr>
        <sz val="11"/>
        <color theme="1"/>
        <rFont val="Arial"/>
        <family val="2"/>
      </rPr>
      <t>TG</t>
    </r>
  </si>
  <si>
    <r>
      <t>AC</t>
    </r>
    <r>
      <rPr>
        <sz val="11"/>
        <color rgb="FFFF0000"/>
        <rFont val="Arial"/>
        <family val="2"/>
      </rPr>
      <t>T</t>
    </r>
    <r>
      <rPr>
        <sz val="11"/>
        <color theme="1"/>
        <rFont val="Arial"/>
        <family val="2"/>
      </rPr>
      <t>TG</t>
    </r>
  </si>
  <si>
    <r>
      <t>AA</t>
    </r>
    <r>
      <rPr>
        <sz val="11"/>
        <color rgb="FFFF0000"/>
        <rFont val="Arial"/>
        <family val="2"/>
      </rPr>
      <t>T</t>
    </r>
    <r>
      <rPr>
        <sz val="11"/>
        <color theme="1"/>
        <rFont val="Arial"/>
        <family val="2"/>
      </rPr>
      <t>TG</t>
    </r>
  </si>
  <si>
    <r>
      <t>AG</t>
    </r>
    <r>
      <rPr>
        <sz val="11"/>
        <color rgb="FFFF0000"/>
        <rFont val="Arial"/>
        <family val="2"/>
      </rPr>
      <t>T</t>
    </r>
    <r>
      <rPr>
        <sz val="11"/>
        <color theme="1"/>
        <rFont val="Arial"/>
        <family val="2"/>
      </rPr>
      <t>TG</t>
    </r>
  </si>
  <si>
    <r>
      <t>AT</t>
    </r>
    <r>
      <rPr>
        <sz val="11"/>
        <color rgb="FFFF0000"/>
        <rFont val="Arial"/>
        <family val="2"/>
      </rPr>
      <t>T</t>
    </r>
    <r>
      <rPr>
        <sz val="11"/>
        <rFont val="Arial"/>
        <family val="2"/>
      </rPr>
      <t>CG</t>
    </r>
  </si>
  <si>
    <r>
      <t>AC</t>
    </r>
    <r>
      <rPr>
        <sz val="11"/>
        <color rgb="FFFF0000"/>
        <rFont val="Arial"/>
        <family val="2"/>
      </rPr>
      <t>T</t>
    </r>
    <r>
      <rPr>
        <sz val="11"/>
        <color theme="1"/>
        <rFont val="Arial"/>
        <family val="2"/>
      </rPr>
      <t>CG</t>
    </r>
  </si>
  <si>
    <r>
      <t>AA</t>
    </r>
    <r>
      <rPr>
        <sz val="11"/>
        <color rgb="FFFF0000"/>
        <rFont val="Arial"/>
        <family val="2"/>
      </rPr>
      <t>T</t>
    </r>
    <r>
      <rPr>
        <sz val="11"/>
        <color theme="1"/>
        <rFont val="Arial"/>
        <family val="2"/>
      </rPr>
      <t>CG</t>
    </r>
  </si>
  <si>
    <r>
      <t>AG</t>
    </r>
    <r>
      <rPr>
        <sz val="11"/>
        <color rgb="FFFF0000"/>
        <rFont val="Arial"/>
        <family val="2"/>
      </rPr>
      <t>T</t>
    </r>
    <r>
      <rPr>
        <sz val="11"/>
        <color theme="1"/>
        <rFont val="Arial"/>
        <family val="2"/>
      </rPr>
      <t>CG</t>
    </r>
  </si>
  <si>
    <r>
      <t>AT</t>
    </r>
    <r>
      <rPr>
        <sz val="11"/>
        <color rgb="FFFF0000"/>
        <rFont val="Arial"/>
        <family val="2"/>
      </rPr>
      <t>T</t>
    </r>
    <r>
      <rPr>
        <sz val="11"/>
        <color theme="1"/>
        <rFont val="Arial"/>
        <family val="2"/>
      </rPr>
      <t>AG</t>
    </r>
  </si>
  <si>
    <r>
      <t>AC</t>
    </r>
    <r>
      <rPr>
        <sz val="11"/>
        <color rgb="FFFF0000"/>
        <rFont val="Arial"/>
        <family val="2"/>
      </rPr>
      <t>T</t>
    </r>
    <r>
      <rPr>
        <sz val="11"/>
        <color theme="1"/>
        <rFont val="Arial"/>
        <family val="2"/>
      </rPr>
      <t>AG</t>
    </r>
  </si>
  <si>
    <r>
      <t>AA</t>
    </r>
    <r>
      <rPr>
        <sz val="11"/>
        <color rgb="FFFF0000"/>
        <rFont val="Arial"/>
        <family val="2"/>
      </rPr>
      <t>T</t>
    </r>
    <r>
      <rPr>
        <sz val="11"/>
        <color theme="1"/>
        <rFont val="Arial"/>
        <family val="2"/>
      </rPr>
      <t>AG</t>
    </r>
  </si>
  <si>
    <r>
      <t>AG</t>
    </r>
    <r>
      <rPr>
        <sz val="11"/>
        <color rgb="FFFF0000"/>
        <rFont val="Arial"/>
        <family val="2"/>
      </rPr>
      <t>T</t>
    </r>
    <r>
      <rPr>
        <sz val="11"/>
        <color theme="1"/>
        <rFont val="Arial"/>
        <family val="2"/>
      </rPr>
      <t>AG</t>
    </r>
  </si>
  <si>
    <r>
      <t>AT</t>
    </r>
    <r>
      <rPr>
        <sz val="11"/>
        <color rgb="FFFF0000"/>
        <rFont val="Arial"/>
        <family val="2"/>
      </rPr>
      <t>T</t>
    </r>
    <r>
      <rPr>
        <sz val="11"/>
        <color theme="1"/>
        <rFont val="Arial"/>
        <family val="2"/>
      </rPr>
      <t>GG</t>
    </r>
  </si>
  <si>
    <r>
      <t>AC</t>
    </r>
    <r>
      <rPr>
        <sz val="11"/>
        <color rgb="FFFF0000"/>
        <rFont val="Arial"/>
        <family val="2"/>
      </rPr>
      <t>T</t>
    </r>
    <r>
      <rPr>
        <sz val="11"/>
        <color theme="1"/>
        <rFont val="Arial"/>
        <family val="2"/>
      </rPr>
      <t>GG</t>
    </r>
  </si>
  <si>
    <r>
      <t>AA</t>
    </r>
    <r>
      <rPr>
        <sz val="11"/>
        <color rgb="FFFF0000"/>
        <rFont val="Arial"/>
        <family val="2"/>
      </rPr>
      <t>T</t>
    </r>
    <r>
      <rPr>
        <sz val="11"/>
        <color theme="1"/>
        <rFont val="Arial"/>
        <family val="2"/>
      </rPr>
      <t>GG</t>
    </r>
  </si>
  <si>
    <r>
      <t>AG</t>
    </r>
    <r>
      <rPr>
        <sz val="11"/>
        <color rgb="FFFF0000"/>
        <rFont val="Arial"/>
        <family val="2"/>
      </rPr>
      <t>T</t>
    </r>
    <r>
      <rPr>
        <sz val="11"/>
        <color theme="1"/>
        <rFont val="Arial"/>
        <family val="2"/>
      </rPr>
      <t>GG</t>
    </r>
  </si>
  <si>
    <t>dG25_std</t>
  </si>
  <si>
    <t>dG37_std</t>
  </si>
  <si>
    <t>dG1_std</t>
  </si>
  <si>
    <t>Tm_run1</t>
  </si>
  <si>
    <t>Tm_run2</t>
  </si>
  <si>
    <t>Tm_run3</t>
  </si>
  <si>
    <t>Tm_run4</t>
  </si>
  <si>
    <t>dH_run1</t>
  </si>
  <si>
    <t>dH_run2</t>
  </si>
  <si>
    <t>dH_run3</t>
  </si>
  <si>
    <t>dH_run4</t>
  </si>
  <si>
    <t>dS_run1</t>
  </si>
  <si>
    <t>dS_run2</t>
  </si>
  <si>
    <t>dS_run3</t>
  </si>
  <si>
    <t>dS_run4</t>
  </si>
  <si>
    <t>dG25_run1</t>
  </si>
  <si>
    <t>dG25_run2</t>
  </si>
  <si>
    <t>dG25_run3</t>
  </si>
  <si>
    <t>dG25_run4</t>
  </si>
  <si>
    <t>dG37_run1</t>
  </si>
  <si>
    <t>dG37_run2</t>
  </si>
  <si>
    <t>dG37_run3</t>
  </si>
  <si>
    <t>dG37_run4</t>
  </si>
  <si>
    <t>dG1_run1</t>
  </si>
  <si>
    <t>dG1_run2</t>
  </si>
  <si>
    <t>dG1_run3</t>
  </si>
  <si>
    <t>dG1_run4</t>
  </si>
  <si>
    <t>Tm_run5</t>
  </si>
  <si>
    <t>dH_run5</t>
  </si>
  <si>
    <t>dS_run5</t>
  </si>
  <si>
    <t>dG25_run5</t>
  </si>
  <si>
    <t>dG37_run5</t>
  </si>
  <si>
    <t>dG1_run5</t>
  </si>
  <si>
    <t>Tm_run6</t>
  </si>
  <si>
    <t>dH_run6</t>
  </si>
  <si>
    <t>dS_run6</t>
  </si>
  <si>
    <t>dG25_run6</t>
  </si>
  <si>
    <t>dG37_run6</t>
  </si>
  <si>
    <t>dG1_run6</t>
  </si>
  <si>
    <t>Sequence Context Compl</t>
  </si>
  <si>
    <t>Seq</t>
  </si>
  <si>
    <t>Seq_T</t>
  </si>
  <si>
    <t>AGA</t>
  </si>
  <si>
    <t>AGG</t>
  </si>
  <si>
    <t>AGT</t>
  </si>
  <si>
    <t>AGC</t>
  </si>
  <si>
    <t>GGA</t>
  </si>
  <si>
    <t>GGG</t>
  </si>
  <si>
    <t>GGT</t>
  </si>
  <si>
    <t>GGC</t>
  </si>
  <si>
    <t>TGA</t>
  </si>
  <si>
    <t>TGG</t>
  </si>
  <si>
    <t>TGT</t>
  </si>
  <si>
    <t>TGC</t>
  </si>
  <si>
    <t>CGA</t>
  </si>
  <si>
    <t>CGG</t>
  </si>
  <si>
    <t>CGT</t>
  </si>
  <si>
    <t>CGC</t>
  </si>
  <si>
    <t>TTT</t>
  </si>
  <si>
    <t>CTT</t>
  </si>
  <si>
    <t>ATT</t>
  </si>
  <si>
    <t>GTT</t>
  </si>
  <si>
    <t>TTC</t>
  </si>
  <si>
    <t>CTC</t>
  </si>
  <si>
    <t>ATC</t>
  </si>
  <si>
    <t>GTC</t>
  </si>
  <si>
    <t>TTA</t>
  </si>
  <si>
    <t>CTA</t>
  </si>
  <si>
    <t>ATA</t>
  </si>
  <si>
    <t>GTA</t>
  </si>
  <si>
    <t>TTG</t>
  </si>
  <si>
    <t>GTG</t>
  </si>
  <si>
    <t>CTG</t>
  </si>
  <si>
    <t>ATG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</si>
</sst>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8"/>
      <name val="Aptos Narrow"/>
      <family val="2"/>
      <scheme val="minor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00B050"/>
      <name val="Arial"/>
      <family val="2"/>
    </font>
    <font>
      <b/>
      <sz val="11"/>
      <color rgb="FF0070C0"/>
      <name val="Arial"/>
      <family val="2"/>
    </font>
    <font>
      <sz val="11"/>
      <color rgb="FF00B050"/>
      <name val="Arial"/>
      <family val="2"/>
    </font>
    <font>
      <sz val="11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0" borderId="0" xfId="0" applyNumberFormat="1" applyFont="1"/>
    <xf numFmtId="0" fontId="3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quotePrefix="1" applyFont="1"/>
    <xf numFmtId="164" fontId="1" fillId="0" borderId="0" xfId="0" quotePrefix="1" applyNumberFormat="1" applyFont="1"/>
    <xf numFmtId="164" fontId="9" fillId="0" borderId="0" xfId="0" applyNumberFormat="1" applyFont="1"/>
    <xf numFmtId="164" fontId="3" fillId="0" borderId="0" xfId="0" applyNumberFormat="1" applyFont="1"/>
    <xf numFmtId="164" fontId="2" fillId="0" borderId="0" xfId="0" applyNumberFormat="1" applyFont="1"/>
    <xf numFmtId="164" fontId="10" fillId="0" borderId="0" xfId="0" applyNumberFormat="1" applyFont="1"/>
    <xf numFmtId="0" fontId="9" fillId="0" borderId="0" xfId="0" applyFont="1"/>
    <xf numFmtId="0" fontId="10" fillId="0" borderId="0" xfId="0" applyFont="1"/>
    <xf numFmtId="0" fontId="3" fillId="2" borderId="0" xfId="0" applyFont="1" applyFill="1" applyAlignment="1">
      <alignment horizontal="left"/>
    </xf>
    <xf numFmtId="164" fontId="1" fillId="2" borderId="0" xfId="0" quotePrefix="1" applyNumberFormat="1" applyFont="1" applyFill="1"/>
    <xf numFmtId="164" fontId="1" fillId="2" borderId="0" xfId="0" applyNumberFormat="1" applyFont="1" applyFill="1"/>
    <xf numFmtId="164" fontId="9" fillId="2" borderId="0" xfId="0" applyNumberFormat="1" applyFont="1" applyFill="1"/>
    <xf numFmtId="164" fontId="3" fillId="2" borderId="0" xfId="0" applyNumberFormat="1" applyFont="1" applyFill="1"/>
    <xf numFmtId="164" fontId="2" fillId="2" borderId="0" xfId="0" applyNumberFormat="1" applyFont="1" applyFill="1"/>
    <xf numFmtId="164" fontId="10" fillId="2" borderId="0" xfId="0" applyNumberFormat="1" applyFont="1" applyFill="1"/>
    <xf numFmtId="0" fontId="1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3287-54DC-404E-BFEB-E9C6286C20A1}">
  <dimension ref="A1:AT17"/>
  <sheetViews>
    <sheetView workbookViewId="0">
      <selection activeCell="AO10" sqref="AO10"/>
    </sheetView>
  </sheetViews>
  <sheetFormatPr baseColWidth="10" defaultColWidth="8.6640625" defaultRowHeight="14" x14ac:dyDescent="0.15"/>
  <cols>
    <col min="1" max="25" width="8.6640625" style="1"/>
    <col min="26" max="30" width="8.6640625" style="1" customWidth="1"/>
    <col min="31" max="32" width="8.6640625" style="16"/>
    <col min="33" max="37" width="8.6640625" style="4" customWidth="1"/>
    <col min="38" max="39" width="8.6640625" style="6"/>
    <col min="40" max="44" width="8.6640625" style="4" customWidth="1"/>
    <col min="45" max="46" width="8.6640625" style="17"/>
    <col min="47" max="16384" width="8.6640625" style="1"/>
  </cols>
  <sheetData>
    <row r="1" spans="1:46" x14ac:dyDescent="0.15">
      <c r="A1" s="1" t="s">
        <v>0</v>
      </c>
      <c r="B1" s="1" t="s">
        <v>97</v>
      </c>
      <c r="C1" s="1" t="s">
        <v>98</v>
      </c>
      <c r="D1" s="1" t="s">
        <v>99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85</v>
      </c>
      <c r="J1" s="7" t="s">
        <v>36</v>
      </c>
      <c r="K1" s="7" t="s">
        <v>37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86</v>
      </c>
      <c r="Q1" s="7" t="s">
        <v>38</v>
      </c>
      <c r="R1" s="7" t="s">
        <v>39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87</v>
      </c>
      <c r="X1" s="7" t="s">
        <v>40</v>
      </c>
      <c r="Y1" s="7" t="s">
        <v>41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88</v>
      </c>
      <c r="AE1" s="8" t="s">
        <v>33</v>
      </c>
      <c r="AF1" s="8" t="s">
        <v>58</v>
      </c>
      <c r="AG1" s="4" t="s">
        <v>77</v>
      </c>
      <c r="AH1" s="4" t="s">
        <v>78</v>
      </c>
      <c r="AI1" s="4" t="s">
        <v>79</v>
      </c>
      <c r="AJ1" s="4" t="s">
        <v>80</v>
      </c>
      <c r="AK1" s="4" t="s">
        <v>89</v>
      </c>
      <c r="AL1" s="5" t="s">
        <v>34</v>
      </c>
      <c r="AM1" s="5" t="s">
        <v>59</v>
      </c>
      <c r="AN1" s="4" t="s">
        <v>81</v>
      </c>
      <c r="AO1" s="4" t="s">
        <v>82</v>
      </c>
      <c r="AP1" s="4" t="s">
        <v>83</v>
      </c>
      <c r="AQ1" s="4" t="s">
        <v>84</v>
      </c>
      <c r="AR1" s="4" t="s">
        <v>90</v>
      </c>
      <c r="AS1" s="9" t="s">
        <v>35</v>
      </c>
      <c r="AT1" s="9" t="s">
        <v>60</v>
      </c>
    </row>
    <row r="2" spans="1:46" x14ac:dyDescent="0.15">
      <c r="A2" s="1" t="s">
        <v>1</v>
      </c>
      <c r="B2" s="1" t="s">
        <v>17</v>
      </c>
      <c r="C2" s="1" t="s">
        <v>100</v>
      </c>
      <c r="D2" s="1" t="s">
        <v>116</v>
      </c>
      <c r="E2" s="1">
        <v>325.42605907667098</v>
      </c>
      <c r="F2" s="10">
        <v>325.01186215792302</v>
      </c>
      <c r="G2" s="10">
        <v>325.079359676965</v>
      </c>
      <c r="J2" s="11">
        <f>AVERAGE(E2:I2)</f>
        <v>325.17242697051967</v>
      </c>
      <c r="K2" s="11">
        <f>STDEV(E2:I2)</f>
        <v>0.22222941461982365</v>
      </c>
      <c r="L2" s="1">
        <v>-82.555674844863503</v>
      </c>
      <c r="M2" s="1">
        <v>-81.435754751500596</v>
      </c>
      <c r="N2" s="1">
        <v>-82.724685806230198</v>
      </c>
      <c r="O2" s="11"/>
      <c r="P2" s="11"/>
      <c r="Q2" s="11">
        <f>AVERAGE(L2:P2)</f>
        <v>-82.238705134198099</v>
      </c>
      <c r="R2" s="11">
        <f>STDEV(L2:P2)</f>
        <v>0.70049137330239375</v>
      </c>
      <c r="S2" s="1">
        <v>-0.227037875896824</v>
      </c>
      <c r="T2" s="1">
        <v>-0.223915391118027</v>
      </c>
      <c r="U2" s="1">
        <v>-0.227828339375033</v>
      </c>
      <c r="V2" s="3"/>
      <c r="W2" s="3"/>
      <c r="X2" s="11">
        <f>AVERAGE(S2:W2)</f>
        <v>-0.22626053546329464</v>
      </c>
      <c r="Y2" s="11">
        <f>STDEV(S2:W2)</f>
        <v>2.0690540417546512E-3</v>
      </c>
      <c r="Z2" s="3">
        <f t="shared" ref="Z2:AB5" si="0">L2-298.15*S2</f>
        <v>-14.864332146225436</v>
      </c>
      <c r="AA2" s="3">
        <f t="shared" si="0"/>
        <v>-14.675380889660858</v>
      </c>
      <c r="AB2" s="3">
        <f t="shared" si="0"/>
        <v>-14.797666421564116</v>
      </c>
      <c r="AC2" s="11"/>
      <c r="AD2" s="11"/>
      <c r="AE2" s="12">
        <f>AVERAGE(Z2:AD2)</f>
        <v>-14.779126485816803</v>
      </c>
      <c r="AF2" s="12">
        <f>STDEV(Z2:AD2)</f>
        <v>9.5830273152429202E-2</v>
      </c>
      <c r="AG2" s="13">
        <f t="shared" ref="AG2:AI5" si="1">L2-310.15*S2</f>
        <v>-12.139877635463549</v>
      </c>
      <c r="AH2" s="13">
        <f t="shared" si="1"/>
        <v>-11.988396196244523</v>
      </c>
      <c r="AI2" s="13">
        <f t="shared" si="1"/>
        <v>-12.063726349063714</v>
      </c>
      <c r="AJ2" s="13"/>
      <c r="AK2" s="13"/>
      <c r="AL2" s="14">
        <f>AVERAGE(AG2:AK2)</f>
        <v>-12.064000060257262</v>
      </c>
      <c r="AM2" s="14">
        <f>STDEV(AG2:AK2)</f>
        <v>7.5741090534332645E-2</v>
      </c>
      <c r="AN2" s="13">
        <f t="shared" ref="AN2:AP5" si="2">L2-274.15*S2</f>
        <v>-20.313241167749204</v>
      </c>
      <c r="AO2" s="13">
        <f t="shared" si="2"/>
        <v>-20.049350276493499</v>
      </c>
      <c r="AP2" s="13">
        <f t="shared" si="2"/>
        <v>-20.265546566564907</v>
      </c>
      <c r="AQ2" s="13"/>
      <c r="AR2" s="13"/>
      <c r="AS2" s="15">
        <f>AVERAGE(AN2:AR2)</f>
        <v>-20.209379336935871</v>
      </c>
      <c r="AT2" s="15">
        <f>STDEV(AN2:AR2)</f>
        <v>0.14062598936570514</v>
      </c>
    </row>
    <row r="3" spans="1:46" x14ac:dyDescent="0.15">
      <c r="A3" s="1" t="s">
        <v>2</v>
      </c>
      <c r="B3" s="1" t="s">
        <v>18</v>
      </c>
      <c r="C3" s="1" t="s">
        <v>101</v>
      </c>
      <c r="D3" s="1" t="s">
        <v>117</v>
      </c>
      <c r="E3" s="10">
        <v>328.90213773899501</v>
      </c>
      <c r="F3" s="10">
        <v>328.66165374580697</v>
      </c>
      <c r="G3" s="10">
        <v>327.98524381767402</v>
      </c>
      <c r="J3" s="11">
        <f t="shared" ref="J3:J17" si="3">AVERAGE(E3:I3)</f>
        <v>328.51634510082533</v>
      </c>
      <c r="K3" s="11">
        <f t="shared" ref="K3:K17" si="4">STDEV(E3:I3)</f>
        <v>0.47540463551446999</v>
      </c>
      <c r="L3" s="1">
        <v>-85.634426672075605</v>
      </c>
      <c r="M3" s="1">
        <v>-86.455297375403106</v>
      </c>
      <c r="N3" s="1">
        <v>-87.025728865880197</v>
      </c>
      <c r="O3" s="11"/>
      <c r="P3" s="11"/>
      <c r="Q3" s="11">
        <f t="shared" ref="Q3:Q17" si="5">AVERAGE(L3:P3)</f>
        <v>-86.371817637786307</v>
      </c>
      <c r="R3" s="11">
        <f t="shared" ref="R3:R17" si="6">STDEV(L3:P3)</f>
        <v>0.69939766840174333</v>
      </c>
      <c r="S3" s="1">
        <v>-0.23371744082822599</v>
      </c>
      <c r="T3" s="1">
        <v>-0.236405567592297</v>
      </c>
      <c r="U3" s="1">
        <v>-0.23868726435829299</v>
      </c>
      <c r="V3" s="11"/>
      <c r="W3" s="11"/>
      <c r="X3" s="11">
        <f t="shared" ref="X3:X17" si="7">AVERAGE(S3:W3)</f>
        <v>-0.23627009092627202</v>
      </c>
      <c r="Y3" s="11">
        <f t="shared" ref="Y3:Y17" si="8">STDEV(S3:W3)</f>
        <v>2.4876800287174893E-3</v>
      </c>
      <c r="Z3" s="3">
        <f t="shared" si="0"/>
        <v>-15.951571689140039</v>
      </c>
      <c r="AA3" s="3">
        <f t="shared" si="0"/>
        <v>-15.970977397759754</v>
      </c>
      <c r="AB3" s="3">
        <f t="shared" si="0"/>
        <v>-15.861120997455146</v>
      </c>
      <c r="AC3" s="11"/>
      <c r="AD3" s="11"/>
      <c r="AE3" s="12">
        <f t="shared" ref="AE3:AE17" si="9">AVERAGE(Z3:AD3)</f>
        <v>-15.927890028118313</v>
      </c>
      <c r="AF3" s="12">
        <f t="shared" ref="AF3:AF17" si="10">STDEV(Z3:AD3)</f>
        <v>5.8632098491632693E-2</v>
      </c>
      <c r="AG3" s="13">
        <f t="shared" si="1"/>
        <v>-13.146962399201314</v>
      </c>
      <c r="AH3" s="13">
        <f t="shared" si="1"/>
        <v>-13.134110586652199</v>
      </c>
      <c r="AI3" s="13">
        <f t="shared" si="1"/>
        <v>-12.996873825155632</v>
      </c>
      <c r="AJ3" s="13"/>
      <c r="AK3" s="13"/>
      <c r="AL3" s="14">
        <f t="shared" ref="AL3:AL17" si="11">AVERAGE(AG3:AK3)</f>
        <v>-13.092648937003048</v>
      </c>
      <c r="AM3" s="14">
        <f t="shared" ref="AM3:AM17" si="12">STDEV(AG3:AK3)</f>
        <v>8.3192225048307478E-2</v>
      </c>
      <c r="AN3" s="13">
        <f t="shared" si="2"/>
        <v>-21.56079026901746</v>
      </c>
      <c r="AO3" s="13">
        <f t="shared" si="2"/>
        <v>-21.644711019974892</v>
      </c>
      <c r="AP3" s="13">
        <f t="shared" si="2"/>
        <v>-21.589615342054174</v>
      </c>
      <c r="AQ3" s="13"/>
      <c r="AR3" s="13"/>
      <c r="AS3" s="15">
        <f t="shared" ref="AS3:AS17" si="13">AVERAGE(AN3:AR3)</f>
        <v>-21.598372210348842</v>
      </c>
      <c r="AT3" s="15">
        <f t="shared" ref="AT3:AT17" si="14">STDEV(AN3:AR3)</f>
        <v>4.2640182540210403E-2</v>
      </c>
    </row>
    <row r="4" spans="1:46" x14ac:dyDescent="0.15">
      <c r="A4" s="1" t="s">
        <v>3</v>
      </c>
      <c r="B4" s="1" t="s">
        <v>19</v>
      </c>
      <c r="C4" s="1" t="s">
        <v>102</v>
      </c>
      <c r="D4" s="1" t="s">
        <v>118</v>
      </c>
      <c r="E4" s="10">
        <v>325.75039982400801</v>
      </c>
      <c r="F4" s="10">
        <v>325.601685872762</v>
      </c>
      <c r="G4" s="10">
        <v>325.00038698945002</v>
      </c>
      <c r="J4" s="11">
        <f t="shared" si="3"/>
        <v>325.45082422874003</v>
      </c>
      <c r="K4" s="11">
        <f t="shared" si="4"/>
        <v>0.3971136357872796</v>
      </c>
      <c r="L4" s="1">
        <v>-80.260751204089303</v>
      </c>
      <c r="M4" s="1">
        <v>-78.884688328536001</v>
      </c>
      <c r="N4" s="1">
        <v>-75.855910495682295</v>
      </c>
      <c r="O4" s="11"/>
      <c r="P4" s="11"/>
      <c r="Q4" s="11">
        <f t="shared" si="5"/>
        <v>-78.333783342769195</v>
      </c>
      <c r="R4" s="11">
        <f t="shared" si="6"/>
        <v>2.253503415599126</v>
      </c>
      <c r="S4" s="1">
        <v>-0.21974025173516201</v>
      </c>
      <c r="T4" s="1">
        <v>-0.21562657017440001</v>
      </c>
      <c r="U4" s="1">
        <v>-0.206755506904853</v>
      </c>
      <c r="V4" s="11"/>
      <c r="W4" s="11"/>
      <c r="X4" s="11">
        <f t="shared" si="7"/>
        <v>-0.21404077627147167</v>
      </c>
      <c r="Y4" s="11">
        <f t="shared" si="8"/>
        <v>6.6360346822468188E-3</v>
      </c>
      <c r="Z4" s="3">
        <f t="shared" si="0"/>
        <v>-14.745195149250748</v>
      </c>
      <c r="AA4" s="3">
        <f t="shared" si="0"/>
        <v>-14.595626431038639</v>
      </c>
      <c r="AB4" s="3">
        <f t="shared" si="0"/>
        <v>-14.21175611200038</v>
      </c>
      <c r="AC4" s="11"/>
      <c r="AD4" s="11"/>
      <c r="AE4" s="12">
        <f t="shared" si="9"/>
        <v>-14.517525897429921</v>
      </c>
      <c r="AF4" s="12">
        <f t="shared" si="10"/>
        <v>0.27516190075685354</v>
      </c>
      <c r="AG4" s="13">
        <f t="shared" si="1"/>
        <v>-12.108312128428807</v>
      </c>
      <c r="AH4" s="13">
        <f t="shared" si="1"/>
        <v>-12.008107588945848</v>
      </c>
      <c r="AI4" s="13">
        <f t="shared" si="1"/>
        <v>-11.730690029142139</v>
      </c>
      <c r="AJ4" s="13"/>
      <c r="AK4" s="13"/>
      <c r="AL4" s="14">
        <f t="shared" si="11"/>
        <v>-11.949036582172264</v>
      </c>
      <c r="AM4" s="14">
        <f t="shared" si="12"/>
        <v>0.19561863497210877</v>
      </c>
      <c r="AN4" s="13">
        <f t="shared" si="2"/>
        <v>-20.018961190894643</v>
      </c>
      <c r="AO4" s="13">
        <f t="shared" si="2"/>
        <v>-19.770664115224243</v>
      </c>
      <c r="AP4" s="13">
        <f t="shared" si="2"/>
        <v>-19.173888277716848</v>
      </c>
      <c r="AQ4" s="13"/>
      <c r="AR4" s="13"/>
      <c r="AS4" s="15">
        <f t="shared" si="13"/>
        <v>-19.654504527945246</v>
      </c>
      <c r="AT4" s="15">
        <f t="shared" si="14"/>
        <v>0.43434645668443239</v>
      </c>
    </row>
    <row r="5" spans="1:46" x14ac:dyDescent="0.15">
      <c r="A5" s="1" t="s">
        <v>4</v>
      </c>
      <c r="B5" s="1" t="s">
        <v>20</v>
      </c>
      <c r="C5" s="1" t="s">
        <v>103</v>
      </c>
      <c r="D5" s="1" t="s">
        <v>119</v>
      </c>
      <c r="E5" s="10">
        <v>324.718003334522</v>
      </c>
      <c r="F5" s="10">
        <v>324.35696823187101</v>
      </c>
      <c r="G5" s="10">
        <v>324.55467977273901</v>
      </c>
      <c r="J5" s="11">
        <f t="shared" si="3"/>
        <v>324.54321711304402</v>
      </c>
      <c r="K5" s="11">
        <f t="shared" si="4"/>
        <v>0.18079029498846133</v>
      </c>
      <c r="L5" s="1">
        <v>-63.338680545728501</v>
      </c>
      <c r="M5" s="1">
        <v>-68.890932665682897</v>
      </c>
      <c r="N5" s="1">
        <v>-63.107356463920802</v>
      </c>
      <c r="O5" s="11"/>
      <c r="P5" s="11"/>
      <c r="Q5" s="11">
        <f t="shared" si="5"/>
        <v>-65.112323225110728</v>
      </c>
      <c r="R5" s="11">
        <f t="shared" si="6"/>
        <v>3.2744151670171351</v>
      </c>
      <c r="S5" s="1">
        <v>-0.168410479020945</v>
      </c>
      <c r="T5" s="1">
        <v>-0.18574531462998101</v>
      </c>
      <c r="U5" s="1">
        <v>-0.16779589353108601</v>
      </c>
      <c r="V5" s="11"/>
      <c r="W5" s="11"/>
      <c r="X5" s="11">
        <f t="shared" si="7"/>
        <v>-0.17398389572733733</v>
      </c>
      <c r="Y5" s="11">
        <f t="shared" si="8"/>
        <v>1.019032186850269E-2</v>
      </c>
      <c r="Z5" s="3">
        <f t="shared" si="0"/>
        <v>-13.127096225633757</v>
      </c>
      <c r="AA5" s="3">
        <f t="shared" si="0"/>
        <v>-13.510967108754066</v>
      </c>
      <c r="AB5" s="3">
        <f t="shared" si="0"/>
        <v>-13.079010807627512</v>
      </c>
      <c r="AC5" s="11"/>
      <c r="AD5" s="11"/>
      <c r="AE5" s="12">
        <f t="shared" si="9"/>
        <v>-13.239024714005112</v>
      </c>
      <c r="AF5" s="12">
        <f t="shared" si="10"/>
        <v>0.23673308049902109</v>
      </c>
      <c r="AG5" s="13">
        <f t="shared" si="1"/>
        <v>-11.106170477382413</v>
      </c>
      <c r="AH5" s="13">
        <f t="shared" si="1"/>
        <v>-11.282023333194289</v>
      </c>
      <c r="AI5" s="13">
        <f t="shared" si="1"/>
        <v>-11.065460085254479</v>
      </c>
      <c r="AJ5" s="13"/>
      <c r="AK5" s="13"/>
      <c r="AL5" s="14">
        <f t="shared" si="11"/>
        <v>-11.151217965277061</v>
      </c>
      <c r="AM5" s="14">
        <f t="shared" si="12"/>
        <v>0.11509503557397108</v>
      </c>
      <c r="AN5" s="13">
        <f t="shared" si="2"/>
        <v>-17.16894772213643</v>
      </c>
      <c r="AO5" s="13">
        <f t="shared" si="2"/>
        <v>-17.968854659873607</v>
      </c>
      <c r="AP5" s="13">
        <f t="shared" si="2"/>
        <v>-17.106112252373578</v>
      </c>
      <c r="AQ5" s="13"/>
      <c r="AR5" s="13"/>
      <c r="AS5" s="15">
        <f t="shared" si="13"/>
        <v>-17.414638211461206</v>
      </c>
      <c r="AT5" s="15">
        <f t="shared" si="14"/>
        <v>0.48099270039494579</v>
      </c>
    </row>
    <row r="6" spans="1:46" s="2" customFormat="1" x14ac:dyDescent="0.15">
      <c r="A6" s="2" t="s">
        <v>5</v>
      </c>
      <c r="B6" s="18" t="s">
        <v>21</v>
      </c>
      <c r="C6" s="18" t="s">
        <v>104</v>
      </c>
      <c r="D6" s="18" t="s">
        <v>120</v>
      </c>
      <c r="E6" s="18"/>
      <c r="F6" s="18"/>
      <c r="G6" s="18"/>
      <c r="H6" s="18"/>
      <c r="I6" s="18"/>
      <c r="J6" s="19"/>
      <c r="K6" s="19"/>
      <c r="Q6" s="19"/>
      <c r="R6" s="19"/>
      <c r="X6" s="19"/>
      <c r="Y6" s="19"/>
      <c r="Z6" s="20"/>
      <c r="AA6" s="20"/>
      <c r="AB6" s="20"/>
      <c r="AC6" s="19"/>
      <c r="AD6" s="19"/>
      <c r="AE6" s="21"/>
      <c r="AF6" s="21"/>
      <c r="AG6" s="22"/>
      <c r="AH6" s="22"/>
      <c r="AI6" s="22"/>
      <c r="AJ6" s="22"/>
      <c r="AK6" s="22"/>
      <c r="AL6" s="23"/>
      <c r="AM6" s="23"/>
      <c r="AN6" s="22"/>
      <c r="AO6" s="22"/>
      <c r="AP6" s="22"/>
      <c r="AQ6" s="22"/>
      <c r="AR6" s="22"/>
      <c r="AS6" s="24"/>
      <c r="AT6" s="24"/>
    </row>
    <row r="7" spans="1:46" x14ac:dyDescent="0.15">
      <c r="A7" s="1" t="s">
        <v>6</v>
      </c>
      <c r="B7" s="1" t="s">
        <v>22</v>
      </c>
      <c r="C7" s="1" t="s">
        <v>105</v>
      </c>
      <c r="D7" s="1" t="s">
        <v>121</v>
      </c>
      <c r="E7" s="10">
        <v>333.70612203215097</v>
      </c>
      <c r="F7" s="10">
        <v>333.57195572490798</v>
      </c>
      <c r="G7" s="10">
        <v>333.721213199408</v>
      </c>
      <c r="J7" s="11">
        <f t="shared" si="3"/>
        <v>333.66643031882234</v>
      </c>
      <c r="K7" s="11">
        <f t="shared" si="4"/>
        <v>8.2164606149813885E-2</v>
      </c>
      <c r="L7" s="1">
        <v>-90.659263942884195</v>
      </c>
      <c r="M7" s="1">
        <v>-94.162822943900494</v>
      </c>
      <c r="N7" s="1">
        <v>-91.385641379931201</v>
      </c>
      <c r="Q7" s="11">
        <f t="shared" si="5"/>
        <v>-92.069242755571963</v>
      </c>
      <c r="R7" s="11">
        <f t="shared" si="6"/>
        <v>1.8491118270629385</v>
      </c>
      <c r="S7" s="1">
        <v>-0.24502694418215701</v>
      </c>
      <c r="T7" s="1">
        <v>-0.255639372572394</v>
      </c>
      <c r="U7" s="1">
        <v>-0.24719125838004599</v>
      </c>
      <c r="X7" s="11">
        <f t="shared" si="7"/>
        <v>-0.24928585837819897</v>
      </c>
      <c r="Y7" s="11">
        <f t="shared" si="8"/>
        <v>5.6077108474558443E-3</v>
      </c>
      <c r="Z7" s="3">
        <f t="shared" ref="Z7:Z15" si="15">L7-298.15*S7</f>
        <v>-17.604480534974087</v>
      </c>
      <c r="AA7" s="3">
        <f t="shared" ref="AA7:AA15" si="16">M7-298.15*T7</f>
        <v>-17.943944011441232</v>
      </c>
      <c r="AB7" s="3">
        <f t="shared" ref="AB7:AB15" si="17">N7-298.15*U7</f>
        <v>-17.68556769392049</v>
      </c>
      <c r="AC7" s="11"/>
      <c r="AD7" s="11"/>
      <c r="AE7" s="12">
        <f t="shared" si="9"/>
        <v>-17.744664080111935</v>
      </c>
      <c r="AF7" s="12">
        <f t="shared" si="10"/>
        <v>0.17727986380143812</v>
      </c>
      <c r="AG7" s="13">
        <f t="shared" ref="AG7:AG15" si="18">L7-310.15*S7</f>
        <v>-14.664157204788211</v>
      </c>
      <c r="AH7" s="13">
        <f t="shared" ref="AH7:AH15" si="19">M7-310.15*T7</f>
        <v>-14.876271540572503</v>
      </c>
      <c r="AI7" s="13">
        <f t="shared" ref="AI7:AI15" si="20">N7-310.15*U7</f>
        <v>-14.719272593359946</v>
      </c>
      <c r="AJ7" s="13"/>
      <c r="AK7" s="13"/>
      <c r="AL7" s="14">
        <f t="shared" si="11"/>
        <v>-14.753233779573554</v>
      </c>
      <c r="AM7" s="14">
        <f t="shared" si="12"/>
        <v>0.11005973145560266</v>
      </c>
      <c r="AN7" s="13">
        <f t="shared" ref="AN7:AN15" si="21">L7-274.15*S7</f>
        <v>-23.485127195345854</v>
      </c>
      <c r="AO7" s="13">
        <f t="shared" ref="AO7:AO15" si="22">M7-274.15*T7</f>
        <v>-24.07928895317869</v>
      </c>
      <c r="AP7" s="13">
        <f t="shared" ref="AP7:AP15" si="23">N7-274.15*U7</f>
        <v>-23.618157895041591</v>
      </c>
      <c r="AQ7" s="13"/>
      <c r="AR7" s="13"/>
      <c r="AS7" s="15">
        <f t="shared" si="13"/>
        <v>-23.727524681188711</v>
      </c>
      <c r="AT7" s="15">
        <f t="shared" si="14"/>
        <v>0.31181383717189959</v>
      </c>
    </row>
    <row r="8" spans="1:46" x14ac:dyDescent="0.15">
      <c r="A8" s="1" t="s">
        <v>7</v>
      </c>
      <c r="B8" s="1" t="s">
        <v>23</v>
      </c>
      <c r="C8" s="1" t="s">
        <v>106</v>
      </c>
      <c r="D8" s="1" t="s">
        <v>122</v>
      </c>
      <c r="E8" s="10">
        <v>330.49238990596399</v>
      </c>
      <c r="F8" s="10">
        <v>330.40268136463499</v>
      </c>
      <c r="G8" s="10">
        <v>329.738776469345</v>
      </c>
      <c r="J8" s="11">
        <f t="shared" si="3"/>
        <v>330.21128257998129</v>
      </c>
      <c r="K8" s="11">
        <f t="shared" si="4"/>
        <v>0.41165328134043305</v>
      </c>
      <c r="L8" s="1">
        <v>-87.019503354122705</v>
      </c>
      <c r="M8" s="1">
        <v>-87.270512592265007</v>
      </c>
      <c r="N8" s="1">
        <v>-90.312812691701495</v>
      </c>
      <c r="Q8" s="11">
        <f t="shared" si="5"/>
        <v>-88.200942879363069</v>
      </c>
      <c r="R8" s="11">
        <f t="shared" si="6"/>
        <v>1.8332340242336627</v>
      </c>
      <c r="S8" s="1">
        <v>-0.236655576679216</v>
      </c>
      <c r="T8" s="1">
        <v>-0.23748677371608101</v>
      </c>
      <c r="U8" s="1">
        <v>-0.24724498247259299</v>
      </c>
      <c r="X8" s="11">
        <f t="shared" si="7"/>
        <v>-0.24046244428929667</v>
      </c>
      <c r="Y8" s="11">
        <f t="shared" si="8"/>
        <v>5.8885346466186119E-3</v>
      </c>
      <c r="Z8" s="3">
        <f t="shared" si="15"/>
        <v>-16.460643167214457</v>
      </c>
      <c r="AA8" s="3">
        <f t="shared" si="16"/>
        <v>-16.463831008815461</v>
      </c>
      <c r="AB8" s="3">
        <f t="shared" si="17"/>
        <v>-16.596721167497904</v>
      </c>
      <c r="AC8" s="11"/>
      <c r="AD8" s="11"/>
      <c r="AE8" s="12">
        <f>AVERAGE(Z8:AD8)</f>
        <v>-16.507065114509274</v>
      </c>
      <c r="AF8" s="12">
        <f t="shared" si="10"/>
        <v>7.7660778142144005E-2</v>
      </c>
      <c r="AG8" s="13">
        <f t="shared" si="18"/>
        <v>-13.620776247063873</v>
      </c>
      <c r="AH8" s="13">
        <f t="shared" si="19"/>
        <v>-13.613989724222492</v>
      </c>
      <c r="AI8" s="13">
        <f t="shared" si="20"/>
        <v>-13.629781377826788</v>
      </c>
      <c r="AJ8" s="13"/>
      <c r="AK8" s="13"/>
      <c r="AL8" s="14">
        <f t="shared" si="11"/>
        <v>-13.621515783037717</v>
      </c>
      <c r="AM8" s="14">
        <f t="shared" si="12"/>
        <v>7.9217590206959523E-3</v>
      </c>
      <c r="AN8" s="13">
        <f t="shared" si="21"/>
        <v>-22.140377007515639</v>
      </c>
      <c r="AO8" s="13">
        <f t="shared" si="22"/>
        <v>-22.1635135780014</v>
      </c>
      <c r="AP8" s="13">
        <f t="shared" si="23"/>
        <v>-22.530600746840136</v>
      </c>
      <c r="AQ8" s="13"/>
      <c r="AR8" s="13"/>
      <c r="AS8" s="15">
        <f t="shared" si="13"/>
        <v>-22.278163777452392</v>
      </c>
      <c r="AT8" s="15">
        <f t="shared" si="14"/>
        <v>0.21892268694384437</v>
      </c>
    </row>
    <row r="9" spans="1:46" x14ac:dyDescent="0.15">
      <c r="A9" s="1" t="s">
        <v>8</v>
      </c>
      <c r="B9" s="1" t="s">
        <v>24</v>
      </c>
      <c r="C9" s="1" t="s">
        <v>107</v>
      </c>
      <c r="D9" s="1" t="s">
        <v>123</v>
      </c>
      <c r="E9" s="10">
        <v>334.12891700771399</v>
      </c>
      <c r="F9" s="10">
        <v>334.13393110519303</v>
      </c>
      <c r="G9" s="10">
        <v>333.94707657736001</v>
      </c>
      <c r="J9" s="11">
        <f t="shared" si="3"/>
        <v>334.0699748967557</v>
      </c>
      <c r="K9" s="11">
        <f t="shared" si="4"/>
        <v>0.10646258956127358</v>
      </c>
      <c r="L9" s="1">
        <v>-79.949129946178601</v>
      </c>
      <c r="M9" s="1">
        <v>-81.761507968934893</v>
      </c>
      <c r="N9" s="1">
        <v>-81.375908674067503</v>
      </c>
      <c r="Q9" s="11">
        <f t="shared" si="5"/>
        <v>-81.028848863060333</v>
      </c>
      <c r="R9" s="11">
        <f t="shared" si="6"/>
        <v>0.95473368467586339</v>
      </c>
      <c r="S9" s="1">
        <v>-0.21262928019275901</v>
      </c>
      <c r="T9" s="1">
        <v>-0.21804979603827099</v>
      </c>
      <c r="U9" s="1">
        <v>-0.21703204019820099</v>
      </c>
      <c r="X9" s="11">
        <f t="shared" si="7"/>
        <v>-0.21590370547641033</v>
      </c>
      <c r="Y9" s="11">
        <f t="shared" si="8"/>
        <v>2.8810332245846151E-3</v>
      </c>
      <c r="Z9" s="3">
        <f t="shared" si="15"/>
        <v>-16.553710056707509</v>
      </c>
      <c r="AA9" s="3">
        <f t="shared" si="16"/>
        <v>-16.74996128012441</v>
      </c>
      <c r="AB9" s="3">
        <f t="shared" si="17"/>
        <v>-16.667805888973888</v>
      </c>
      <c r="AC9" s="11"/>
      <c r="AD9" s="11"/>
      <c r="AE9" s="12">
        <f t="shared" si="9"/>
        <v>-16.657159075268602</v>
      </c>
      <c r="AF9" s="12">
        <f t="shared" si="10"/>
        <v>9.8557859426399413E-2</v>
      </c>
      <c r="AG9" s="13">
        <f t="shared" si="18"/>
        <v>-14.002158694394396</v>
      </c>
      <c r="AH9" s="13">
        <f t="shared" si="19"/>
        <v>-14.133363727665156</v>
      </c>
      <c r="AI9" s="13">
        <f t="shared" si="20"/>
        <v>-14.063421406595467</v>
      </c>
      <c r="AJ9" s="13"/>
      <c r="AK9" s="13"/>
      <c r="AL9" s="14">
        <f t="shared" si="11"/>
        <v>-14.066314609551673</v>
      </c>
      <c r="AM9" s="14">
        <f t="shared" si="12"/>
        <v>6.5650347724933306E-2</v>
      </c>
      <c r="AN9" s="13">
        <f t="shared" si="21"/>
        <v>-21.656812781333727</v>
      </c>
      <c r="AO9" s="13">
        <f t="shared" si="22"/>
        <v>-21.983156385042903</v>
      </c>
      <c r="AP9" s="13">
        <f t="shared" si="23"/>
        <v>-21.876574853730709</v>
      </c>
      <c r="AQ9" s="13"/>
      <c r="AR9" s="13"/>
      <c r="AS9" s="15">
        <f t="shared" si="13"/>
        <v>-21.838848006702449</v>
      </c>
      <c r="AT9" s="15">
        <f t="shared" si="14"/>
        <v>0.16641070626763604</v>
      </c>
    </row>
    <row r="10" spans="1:46" x14ac:dyDescent="0.15">
      <c r="A10" s="1" t="s">
        <v>9</v>
      </c>
      <c r="B10" s="1" t="s">
        <v>25</v>
      </c>
      <c r="C10" s="1" t="s">
        <v>108</v>
      </c>
      <c r="D10" s="1" t="s">
        <v>124</v>
      </c>
      <c r="E10" s="10">
        <v>325.39518231132899</v>
      </c>
      <c r="F10" s="10">
        <v>325.35998553826403</v>
      </c>
      <c r="G10" s="10">
        <v>325.00868639032501</v>
      </c>
      <c r="H10" s="10">
        <v>325.68027839903698</v>
      </c>
      <c r="I10" s="10">
        <v>325.41379752192501</v>
      </c>
      <c r="J10" s="11">
        <f t="shared" si="3"/>
        <v>325.37158603217603</v>
      </c>
      <c r="K10" s="11">
        <f t="shared" si="4"/>
        <v>0.23951006927137103</v>
      </c>
      <c r="L10" s="1">
        <v>-81.410834208333895</v>
      </c>
      <c r="M10" s="1">
        <v>-82.687128246234494</v>
      </c>
      <c r="N10" s="1">
        <v>-87.038279986344406</v>
      </c>
      <c r="O10" s="1">
        <v>-84.409225612857298</v>
      </c>
      <c r="P10" s="1">
        <v>-83.905016470371095</v>
      </c>
      <c r="Q10" s="11">
        <f>AVERAGE(L10:P10)</f>
        <v>-83.890096904828241</v>
      </c>
      <c r="R10" s="11">
        <f>STDEV(L10:P10)</f>
        <v>2.1079997056135813</v>
      </c>
      <c r="S10" s="1">
        <v>-0.223543639566852</v>
      </c>
      <c r="T10" s="1">
        <v>-0.22749341826974401</v>
      </c>
      <c r="U10" s="1">
        <v>-0.24115591790225699</v>
      </c>
      <c r="V10" s="1">
        <v>-0.23253117495471701</v>
      </c>
      <c r="W10" s="1">
        <v>-0.23119397562893601</v>
      </c>
      <c r="X10" s="11">
        <f t="shared" si="7"/>
        <v>-0.2311836252645012</v>
      </c>
      <c r="Y10" s="11">
        <f t="shared" si="8"/>
        <v>6.581216203619249E-3</v>
      </c>
      <c r="Z10" s="3">
        <f t="shared" si="15"/>
        <v>-14.761298071476972</v>
      </c>
      <c r="AA10" s="3">
        <f t="shared" si="16"/>
        <v>-14.859965589110317</v>
      </c>
      <c r="AB10" s="3">
        <f t="shared" si="17"/>
        <v>-15.137643063786484</v>
      </c>
      <c r="AC10" s="3">
        <f>O10-298.15*V10</f>
        <v>-15.080055800108426</v>
      </c>
      <c r="AD10" s="3">
        <f>P10-298.15*W10</f>
        <v>-14.974532636603826</v>
      </c>
      <c r="AE10" s="12">
        <f>AVERAGE(Z10:AD10)</f>
        <v>-14.962699032217206</v>
      </c>
      <c r="AF10" s="12">
        <f t="shared" si="10"/>
        <v>0.15462419495671673</v>
      </c>
      <c r="AG10" s="13">
        <f t="shared" si="18"/>
        <v>-12.07877439667476</v>
      </c>
      <c r="AH10" s="13">
        <f t="shared" si="19"/>
        <v>-12.130044569873391</v>
      </c>
      <c r="AI10" s="13">
        <f t="shared" si="20"/>
        <v>-12.2437720489594</v>
      </c>
      <c r="AJ10" s="13">
        <f>O10-310.15*V10</f>
        <v>-12.289681700651826</v>
      </c>
      <c r="AK10" s="13">
        <f>P10-310.15*W10</f>
        <v>-12.200204929056596</v>
      </c>
      <c r="AL10" s="14">
        <f t="shared" si="11"/>
        <v>-12.188495529043195</v>
      </c>
      <c r="AM10" s="14">
        <f t="shared" si="12"/>
        <v>8.4980124946386112E-2</v>
      </c>
      <c r="AN10" s="13">
        <f t="shared" si="21"/>
        <v>-20.126345421081425</v>
      </c>
      <c r="AO10" s="13">
        <f t="shared" si="22"/>
        <v>-20.319807627584176</v>
      </c>
      <c r="AP10" s="13">
        <f t="shared" si="23"/>
        <v>-20.925385093440653</v>
      </c>
      <c r="AQ10" s="13">
        <f>O10-274.15*V10</f>
        <v>-20.660803999021638</v>
      </c>
      <c r="AR10" s="13">
        <f>P10-274.15*W10</f>
        <v>-20.523188051698291</v>
      </c>
      <c r="AS10" s="15">
        <f t="shared" si="13"/>
        <v>-20.511106038565238</v>
      </c>
      <c r="AT10" s="15">
        <f t="shared" si="14"/>
        <v>0.3077411268115724</v>
      </c>
    </row>
    <row r="11" spans="1:46" x14ac:dyDescent="0.15">
      <c r="A11" s="1" t="s">
        <v>10</v>
      </c>
      <c r="B11" s="1" t="s">
        <v>26</v>
      </c>
      <c r="C11" s="1" t="s">
        <v>109</v>
      </c>
      <c r="D11" s="1" t="s">
        <v>125</v>
      </c>
      <c r="E11" s="10">
        <v>329.22569858686597</v>
      </c>
      <c r="F11" s="10">
        <v>328.78732643147703</v>
      </c>
      <c r="G11" s="10">
        <v>329.16481235443399</v>
      </c>
      <c r="J11" s="11">
        <f t="shared" si="3"/>
        <v>329.05927912425904</v>
      </c>
      <c r="K11" s="11">
        <f t="shared" si="4"/>
        <v>0.23747733293614359</v>
      </c>
      <c r="L11" s="1">
        <v>-83.497109778542693</v>
      </c>
      <c r="M11" s="1">
        <v>-85.449277997248601</v>
      </c>
      <c r="N11" s="1">
        <v>-86.375042751752105</v>
      </c>
      <c r="Q11" s="11">
        <f t="shared" si="5"/>
        <v>-85.107143509181128</v>
      </c>
      <c r="R11" s="11">
        <f t="shared" si="6"/>
        <v>1.4691550481536595</v>
      </c>
      <c r="S11" s="1">
        <v>-0.226969605991208</v>
      </c>
      <c r="T11" s="1">
        <v>-0.23324523317742599</v>
      </c>
      <c r="U11" s="1">
        <v>-0.23575965470009499</v>
      </c>
      <c r="X11" s="11">
        <f t="shared" si="7"/>
        <v>-0.23199149795624299</v>
      </c>
      <c r="Y11" s="11">
        <f t="shared" si="8"/>
        <v>4.5271545235144759E-3</v>
      </c>
      <c r="Z11" s="3">
        <f t="shared" si="15"/>
        <v>-15.826121752264029</v>
      </c>
      <c r="AA11" s="3">
        <f t="shared" si="16"/>
        <v>-15.907211725399051</v>
      </c>
      <c r="AB11" s="3">
        <f t="shared" si="17"/>
        <v>-16.083301702918789</v>
      </c>
      <c r="AC11" s="11"/>
      <c r="AD11" s="11"/>
      <c r="AE11" s="12">
        <f t="shared" si="9"/>
        <v>-15.93887839352729</v>
      </c>
      <c r="AF11" s="12">
        <f t="shared" si="10"/>
        <v>0.13148180542361779</v>
      </c>
      <c r="AG11" s="13">
        <f t="shared" si="18"/>
        <v>-13.102486480369535</v>
      </c>
      <c r="AH11" s="13">
        <f t="shared" si="19"/>
        <v>-13.108268927269933</v>
      </c>
      <c r="AI11" s="13">
        <f t="shared" si="20"/>
        <v>-13.254185846517643</v>
      </c>
      <c r="AJ11" s="13"/>
      <c r="AK11" s="13"/>
      <c r="AL11" s="14">
        <f t="shared" si="11"/>
        <v>-13.15498041805237</v>
      </c>
      <c r="AM11" s="14">
        <f t="shared" si="12"/>
        <v>8.5963055731940796E-2</v>
      </c>
      <c r="AN11" s="13">
        <f t="shared" si="21"/>
        <v>-21.273392296053025</v>
      </c>
      <c r="AO11" s="13">
        <f t="shared" si="22"/>
        <v>-21.505097321657274</v>
      </c>
      <c r="AP11" s="13">
        <f t="shared" si="23"/>
        <v>-21.741533415721065</v>
      </c>
      <c r="AQ11" s="13"/>
      <c r="AR11" s="13"/>
      <c r="AS11" s="15">
        <f t="shared" si="13"/>
        <v>-21.506674344477119</v>
      </c>
      <c r="AT11" s="15">
        <f t="shared" si="14"/>
        <v>0.2340745441771537</v>
      </c>
    </row>
    <row r="12" spans="1:46" x14ac:dyDescent="0.15">
      <c r="A12" s="1" t="s">
        <v>11</v>
      </c>
      <c r="B12" s="1" t="s">
        <v>27</v>
      </c>
      <c r="C12" s="1" t="s">
        <v>110</v>
      </c>
      <c r="D12" s="1" t="s">
        <v>126</v>
      </c>
      <c r="E12" s="1">
        <v>325.031988305759</v>
      </c>
      <c r="F12" s="10">
        <v>325.03302849251003</v>
      </c>
      <c r="G12" s="10">
        <v>325.37619353424901</v>
      </c>
      <c r="J12" s="11">
        <f t="shared" si="3"/>
        <v>325.14707011083937</v>
      </c>
      <c r="K12" s="11">
        <f t="shared" si="4"/>
        <v>0.1984273868782806</v>
      </c>
      <c r="L12" s="1">
        <v>-81.034351000347698</v>
      </c>
      <c r="M12" s="1">
        <v>-81.461037806067694</v>
      </c>
      <c r="N12" s="1">
        <v>-80.270732992463607</v>
      </c>
      <c r="Q12" s="11">
        <f t="shared" si="5"/>
        <v>-80.922040599626328</v>
      </c>
      <c r="R12" s="11">
        <f t="shared" si="6"/>
        <v>0.60304776502770496</v>
      </c>
      <c r="S12" s="1">
        <v>-0.22266490925212401</v>
      </c>
      <c r="T12" s="1">
        <v>-0.22397686046131501</v>
      </c>
      <c r="U12" s="1">
        <v>-0.220054292700572</v>
      </c>
      <c r="X12" s="11">
        <f t="shared" si="7"/>
        <v>-0.22223202080467033</v>
      </c>
      <c r="Y12" s="11">
        <f t="shared" si="8"/>
        <v>1.9967921187142258E-3</v>
      </c>
      <c r="Z12" s="3">
        <f t="shared" si="15"/>
        <v>-14.646808306826927</v>
      </c>
      <c r="AA12" s="3">
        <f t="shared" si="16"/>
        <v>-14.682336859526629</v>
      </c>
      <c r="AB12" s="3">
        <f t="shared" si="17"/>
        <v>-14.661545623788072</v>
      </c>
      <c r="AC12" s="11"/>
      <c r="AD12" s="11"/>
      <c r="AE12" s="12">
        <f t="shared" si="9"/>
        <v>-14.663563596713876</v>
      </c>
      <c r="AF12" s="12">
        <f t="shared" si="10"/>
        <v>1.7850032921001499E-2</v>
      </c>
      <c r="AG12" s="13">
        <f t="shared" si="18"/>
        <v>-11.974829395801436</v>
      </c>
      <c r="AH12" s="13">
        <f t="shared" si="19"/>
        <v>-11.994614533990841</v>
      </c>
      <c r="AI12" s="13">
        <f t="shared" si="20"/>
        <v>-12.02089411138121</v>
      </c>
      <c r="AJ12" s="13"/>
      <c r="AK12" s="13"/>
      <c r="AL12" s="14">
        <f t="shared" si="11"/>
        <v>-11.99677934705783</v>
      </c>
      <c r="AM12" s="14">
        <f t="shared" si="12"/>
        <v>2.3108533425395678E-2</v>
      </c>
      <c r="AN12" s="13">
        <f t="shared" si="21"/>
        <v>-19.990766128877908</v>
      </c>
      <c r="AO12" s="13">
        <f t="shared" si="22"/>
        <v>-20.05778151059819</v>
      </c>
      <c r="AP12" s="13">
        <f t="shared" si="23"/>
        <v>-19.942848648601796</v>
      </c>
      <c r="AQ12" s="13"/>
      <c r="AR12" s="13"/>
      <c r="AS12" s="15">
        <f t="shared" si="13"/>
        <v>-19.997132096025965</v>
      </c>
      <c r="AT12" s="15">
        <f t="shared" si="14"/>
        <v>5.7730276674966052E-2</v>
      </c>
    </row>
    <row r="13" spans="1:46" x14ac:dyDescent="0.15">
      <c r="A13" s="1" t="s">
        <v>12</v>
      </c>
      <c r="B13" s="1" t="s">
        <v>28</v>
      </c>
      <c r="C13" s="1" t="s">
        <v>111</v>
      </c>
      <c r="D13" s="1" t="s">
        <v>127</v>
      </c>
      <c r="E13" s="1">
        <v>327.59293004120701</v>
      </c>
      <c r="F13" s="10">
        <v>328.12693681427601</v>
      </c>
      <c r="G13" s="10">
        <v>327.99886130560401</v>
      </c>
      <c r="H13" s="10">
        <v>327.52766640817799</v>
      </c>
      <c r="J13" s="11">
        <f t="shared" si="3"/>
        <v>327.81159864231626</v>
      </c>
      <c r="K13" s="11">
        <f t="shared" si="4"/>
        <v>0.29605119965436122</v>
      </c>
      <c r="L13" s="1">
        <v>-76.624670460047398</v>
      </c>
      <c r="M13" s="1">
        <v>-74.097135669958107</v>
      </c>
      <c r="N13" s="1">
        <v>-76.893130836909606</v>
      </c>
      <c r="O13" s="1">
        <v>-75.779086140786205</v>
      </c>
      <c r="Q13" s="11">
        <f t="shared" si="5"/>
        <v>-75.848505776925336</v>
      </c>
      <c r="R13" s="11">
        <f t="shared" si="6"/>
        <v>1.2603953703412809</v>
      </c>
      <c r="S13" s="1">
        <v>-0.20725507163450699</v>
      </c>
      <c r="T13" s="1">
        <v>-0.199171492409812</v>
      </c>
      <c r="U13" s="1">
        <v>-0.207784074100275</v>
      </c>
      <c r="V13" s="1">
        <v>-0.20471996054508601</v>
      </c>
      <c r="X13" s="11">
        <f t="shared" si="7"/>
        <v>-0.20473264967242</v>
      </c>
      <c r="Y13" s="11">
        <f t="shared" si="8"/>
        <v>3.9412533838505074E-3</v>
      </c>
      <c r="Z13" s="3">
        <f t="shared" si="15"/>
        <v>-14.831570852219144</v>
      </c>
      <c r="AA13" s="3">
        <f t="shared" si="16"/>
        <v>-14.714155207972667</v>
      </c>
      <c r="AB13" s="3">
        <f t="shared" si="17"/>
        <v>-14.942309143912624</v>
      </c>
      <c r="AC13" s="3">
        <f>O13-298.15*V13</f>
        <v>-14.741829904268819</v>
      </c>
      <c r="AD13" s="11"/>
      <c r="AE13" s="12">
        <f t="shared" si="9"/>
        <v>-14.807466277093313</v>
      </c>
      <c r="AF13" s="12">
        <f t="shared" si="10"/>
        <v>0.10292184467196666</v>
      </c>
      <c r="AG13" s="13">
        <f t="shared" si="18"/>
        <v>-12.344509992605055</v>
      </c>
      <c r="AH13" s="13">
        <f t="shared" si="19"/>
        <v>-12.32409729905492</v>
      </c>
      <c r="AI13" s="13">
        <f t="shared" si="20"/>
        <v>-12.448900254709315</v>
      </c>
      <c r="AJ13" s="13">
        <f>O13-310.15*V13</f>
        <v>-12.285190377727787</v>
      </c>
      <c r="AK13" s="13"/>
      <c r="AL13" s="14">
        <f t="shared" si="11"/>
        <v>-12.350674481024269</v>
      </c>
      <c r="AM13" s="14">
        <f t="shared" si="12"/>
        <v>6.9954313470704493E-2</v>
      </c>
      <c r="AN13" s="13">
        <f t="shared" si="21"/>
        <v>-19.80569257144731</v>
      </c>
      <c r="AO13" s="13">
        <f t="shared" si="22"/>
        <v>-19.494271025808153</v>
      </c>
      <c r="AP13" s="13">
        <f t="shared" si="23"/>
        <v>-19.92912692231922</v>
      </c>
      <c r="AQ13" s="13">
        <f>O13-274.15*V13</f>
        <v>-19.655108957350883</v>
      </c>
      <c r="AR13" s="13"/>
      <c r="AS13" s="15">
        <f t="shared" si="13"/>
        <v>-19.721049869231393</v>
      </c>
      <c r="AT13" s="15">
        <f t="shared" si="14"/>
        <v>0.18818191087716357</v>
      </c>
    </row>
    <row r="14" spans="1:46" x14ac:dyDescent="0.15">
      <c r="A14" s="1" t="s">
        <v>13</v>
      </c>
      <c r="B14" s="1" t="s">
        <v>29</v>
      </c>
      <c r="C14" s="1" t="s">
        <v>112</v>
      </c>
      <c r="D14" s="1" t="s">
        <v>128</v>
      </c>
      <c r="E14" s="10">
        <v>330.154765355677</v>
      </c>
      <c r="F14" s="10">
        <v>329.22837127912101</v>
      </c>
      <c r="G14" s="10">
        <v>329.77483190901802</v>
      </c>
      <c r="H14" s="10">
        <v>329.60260287758399</v>
      </c>
      <c r="I14" s="10"/>
      <c r="J14" s="11">
        <f t="shared" si="3"/>
        <v>329.69014285535002</v>
      </c>
      <c r="K14" s="11">
        <f t="shared" si="4"/>
        <v>0.38468278704303044</v>
      </c>
      <c r="L14" s="1">
        <v>-89.197496197206505</v>
      </c>
      <c r="M14" s="1">
        <v>-88.313188794588399</v>
      </c>
      <c r="N14" s="1">
        <v>-89.329445649606896</v>
      </c>
      <c r="O14" s="1">
        <v>-91.457442710438301</v>
      </c>
      <c r="Q14" s="11">
        <f t="shared" si="5"/>
        <v>-89.574393337960032</v>
      </c>
      <c r="R14" s="11">
        <f t="shared" si="6"/>
        <v>1.3339868395340062</v>
      </c>
      <c r="S14" s="1">
        <v>-0.24352172098678199</v>
      </c>
      <c r="T14" s="1">
        <v>-0.24159593104987101</v>
      </c>
      <c r="U14" s="1">
        <v>-0.24423310211532701</v>
      </c>
      <c r="V14" s="1">
        <v>-0.25083089734614</v>
      </c>
      <c r="X14" s="11">
        <f t="shared" si="7"/>
        <v>-0.24504541287453002</v>
      </c>
      <c r="Y14" s="11">
        <f t="shared" si="8"/>
        <v>4.0146498879395547E-3</v>
      </c>
      <c r="Z14" s="3">
        <f t="shared" si="15"/>
        <v>-16.591495084997462</v>
      </c>
      <c r="AA14" s="3">
        <f t="shared" si="16"/>
        <v>-16.281361952069361</v>
      </c>
      <c r="AB14" s="3">
        <f t="shared" si="17"/>
        <v>-16.511346253922156</v>
      </c>
      <c r="AC14" s="3">
        <f>O14-298.15*V14</f>
        <v>-16.672210666686667</v>
      </c>
      <c r="AD14" s="3"/>
      <c r="AE14" s="12">
        <f t="shared" si="9"/>
        <v>-16.514103489418911</v>
      </c>
      <c r="AF14" s="12">
        <f t="shared" si="10"/>
        <v>0.16848695708687969</v>
      </c>
      <c r="AG14" s="13">
        <f t="shared" si="18"/>
        <v>-13.669234433156078</v>
      </c>
      <c r="AH14" s="13">
        <f t="shared" si="19"/>
        <v>-13.38221077947091</v>
      </c>
      <c r="AI14" s="13">
        <f t="shared" si="20"/>
        <v>-13.580549028538229</v>
      </c>
      <c r="AJ14" s="13">
        <f>O14-310.15*V14</f>
        <v>-13.662239898532988</v>
      </c>
      <c r="AK14" s="13"/>
      <c r="AL14" s="14">
        <f t="shared" si="11"/>
        <v>-13.573558534924551</v>
      </c>
      <c r="AM14" s="14">
        <f t="shared" si="12"/>
        <v>0.13376732569648764</v>
      </c>
      <c r="AN14" s="13">
        <f t="shared" si="21"/>
        <v>-22.43601638868023</v>
      </c>
      <c r="AO14" s="13">
        <f t="shared" si="22"/>
        <v>-22.079664297266262</v>
      </c>
      <c r="AP14" s="13">
        <f t="shared" si="23"/>
        <v>-22.372940704690009</v>
      </c>
      <c r="AQ14" s="13">
        <f>O14-274.15*V14</f>
        <v>-22.692152202994023</v>
      </c>
      <c r="AR14" s="13"/>
      <c r="AS14" s="15">
        <f t="shared" si="13"/>
        <v>-22.395193398407631</v>
      </c>
      <c r="AT14" s="15">
        <f t="shared" si="14"/>
        <v>0.25159812148275018</v>
      </c>
    </row>
    <row r="15" spans="1:46" x14ac:dyDescent="0.15">
      <c r="A15" s="1" t="s">
        <v>14</v>
      </c>
      <c r="B15" s="1" t="s">
        <v>30</v>
      </c>
      <c r="C15" s="1" t="s">
        <v>113</v>
      </c>
      <c r="D15" s="1" t="s">
        <v>130</v>
      </c>
      <c r="E15" s="10">
        <v>333.26545698084198</v>
      </c>
      <c r="F15" s="10">
        <v>333.229066017847</v>
      </c>
      <c r="G15" s="10">
        <v>332.77966765725603</v>
      </c>
      <c r="H15" s="10">
        <v>333.57006534688003</v>
      </c>
      <c r="I15" s="10"/>
      <c r="J15" s="11">
        <f t="shared" si="3"/>
        <v>333.2110640007063</v>
      </c>
      <c r="K15" s="11">
        <f t="shared" si="4"/>
        <v>0.32571328936453137</v>
      </c>
      <c r="L15" s="1">
        <v>-95.126913975292595</v>
      </c>
      <c r="M15" s="1">
        <v>-91.622007490638197</v>
      </c>
      <c r="N15" s="1">
        <v>-94.732430246467004</v>
      </c>
      <c r="O15" s="1">
        <v>-93.005905776355505</v>
      </c>
      <c r="Q15" s="11">
        <f t="shared" si="5"/>
        <v>-93.621814372188325</v>
      </c>
      <c r="R15" s="11">
        <f t="shared" si="6"/>
        <v>1.6204282764524971</v>
      </c>
      <c r="S15" s="1">
        <v>-0.25879184887368401</v>
      </c>
      <c r="T15" s="1">
        <v>-0.2483050113021</v>
      </c>
      <c r="U15" s="1">
        <v>-0.25802311027497499</v>
      </c>
      <c r="V15" s="1">
        <v>-0.25217268398223402</v>
      </c>
      <c r="X15" s="11">
        <f t="shared" si="7"/>
        <v>-0.25432316360824825</v>
      </c>
      <c r="Y15" s="11">
        <f t="shared" si="8"/>
        <v>4.9833547315051626E-3</v>
      </c>
      <c r="Z15" s="3">
        <f t="shared" si="15"/>
        <v>-17.968124233603717</v>
      </c>
      <c r="AA15" s="3">
        <f t="shared" si="16"/>
        <v>-17.589868370917088</v>
      </c>
      <c r="AB15" s="3">
        <f t="shared" si="17"/>
        <v>-17.802839917983221</v>
      </c>
      <c r="AC15" s="3">
        <f>O15-298.15*V15</f>
        <v>-17.820620047052429</v>
      </c>
      <c r="AD15" s="3"/>
      <c r="AE15" s="12">
        <f t="shared" si="9"/>
        <v>-17.795363142389114</v>
      </c>
      <c r="AF15" s="12">
        <f t="shared" si="10"/>
        <v>0.15574370949999553</v>
      </c>
      <c r="AG15" s="13">
        <f t="shared" si="18"/>
        <v>-14.862622047119501</v>
      </c>
      <c r="AH15" s="13">
        <f t="shared" si="19"/>
        <v>-14.610208235291893</v>
      </c>
      <c r="AI15" s="13">
        <f t="shared" si="20"/>
        <v>-14.706562594683518</v>
      </c>
      <c r="AJ15" s="13">
        <f>O15-310.15*V15</f>
        <v>-14.794547839265633</v>
      </c>
      <c r="AK15" s="13"/>
      <c r="AL15" s="14">
        <f t="shared" si="11"/>
        <v>-14.743485179090136</v>
      </c>
      <c r="AM15" s="14">
        <f t="shared" si="12"/>
        <v>0.10943340376001673</v>
      </c>
      <c r="AN15" s="13">
        <f t="shared" si="21"/>
        <v>-24.179128606572135</v>
      </c>
      <c r="AO15" s="13">
        <f t="shared" si="22"/>
        <v>-23.549188642167493</v>
      </c>
      <c r="AP15" s="13">
        <f t="shared" si="23"/>
        <v>-23.995394564582611</v>
      </c>
      <c r="AQ15" s="13">
        <f>O15-274.15*V15</f>
        <v>-23.872764462626051</v>
      </c>
      <c r="AR15" s="13"/>
      <c r="AS15" s="15">
        <f t="shared" si="13"/>
        <v>-23.899119068987073</v>
      </c>
      <c r="AT15" s="15">
        <f t="shared" si="14"/>
        <v>0.26509129313084095</v>
      </c>
    </row>
    <row r="16" spans="1:46" x14ac:dyDescent="0.15">
      <c r="A16" s="1" t="s">
        <v>15</v>
      </c>
      <c r="B16" s="1" t="s">
        <v>31</v>
      </c>
      <c r="C16" s="1" t="s">
        <v>114</v>
      </c>
      <c r="D16" s="1" t="s">
        <v>131</v>
      </c>
      <c r="E16" s="10">
        <v>328.908835138499</v>
      </c>
      <c r="F16" s="10">
        <v>329.22454832236599</v>
      </c>
      <c r="G16" s="10">
        <v>329.84498582809499</v>
      </c>
      <c r="J16" s="11">
        <f t="shared" si="3"/>
        <v>329.32612309631998</v>
      </c>
      <c r="K16" s="11">
        <f t="shared" si="4"/>
        <v>0.47626946620124344</v>
      </c>
      <c r="L16" s="1">
        <v>-82.455914215421501</v>
      </c>
      <c r="M16" s="1">
        <v>-83.818737798125298</v>
      </c>
      <c r="N16" s="1">
        <v>-81.466557082588594</v>
      </c>
      <c r="O16" s="11"/>
      <c r="P16" s="11"/>
      <c r="Q16" s="11">
        <f t="shared" si="5"/>
        <v>-82.58040303204514</v>
      </c>
      <c r="R16" s="11">
        <f t="shared" si="6"/>
        <v>1.1810214344938683</v>
      </c>
      <c r="S16" s="1">
        <v>-0.22404832926391199</v>
      </c>
      <c r="T16" s="1">
        <v>-0.22794741808760499</v>
      </c>
      <c r="U16" s="1">
        <v>-0.22033735651481301</v>
      </c>
      <c r="V16" s="11"/>
      <c r="W16" s="11"/>
      <c r="X16" s="11">
        <f t="shared" si="7"/>
        <v>-0.22411103462211002</v>
      </c>
      <c r="Y16" s="11">
        <f t="shared" si="8"/>
        <v>3.8054182762058296E-3</v>
      </c>
      <c r="Z16" s="3">
        <f t="shared" ref="Z16" si="24">L16-298.15*S16</f>
        <v>-15.655904845386146</v>
      </c>
      <c r="AA16" s="3">
        <f t="shared" ref="AA16" si="25">M16-298.15*T16</f>
        <v>-15.85621509530587</v>
      </c>
      <c r="AB16" s="3">
        <f t="shared" ref="AB16" si="26">N16-298.15*U16</f>
        <v>-15.772974237697099</v>
      </c>
      <c r="AC16" s="11"/>
      <c r="AD16" s="11"/>
      <c r="AE16" s="12">
        <f t="shared" si="9"/>
        <v>-15.761698059463038</v>
      </c>
      <c r="AF16" s="12">
        <f t="shared" si="10"/>
        <v>0.10063008100165823</v>
      </c>
      <c r="AG16" s="13">
        <f t="shared" ref="AG16" si="27">L16-310.15*S16</f>
        <v>-12.967324894219203</v>
      </c>
      <c r="AH16" s="13">
        <f t="shared" ref="AH16" si="28">M16-310.15*T16</f>
        <v>-13.120846078254615</v>
      </c>
      <c r="AI16" s="13">
        <f t="shared" ref="AI16" si="29">N16-310.15*U16</f>
        <v>-13.12892595951935</v>
      </c>
      <c r="AJ16" s="13"/>
      <c r="AK16" s="13"/>
      <c r="AL16" s="14">
        <f t="shared" si="11"/>
        <v>-13.072365643997722</v>
      </c>
      <c r="AM16" s="14">
        <f t="shared" si="12"/>
        <v>9.1057621624102594E-2</v>
      </c>
      <c r="AN16" s="13">
        <f t="shared" ref="AN16" si="30">L16-274.15*S16</f>
        <v>-21.033064747720033</v>
      </c>
      <c r="AO16" s="13">
        <f t="shared" ref="AO16" si="31">M16-274.15*T16</f>
        <v>-21.326953129408395</v>
      </c>
      <c r="AP16" s="13">
        <f t="shared" ref="AP16" si="32">N16-274.15*U16</f>
        <v>-21.061070794052611</v>
      </c>
      <c r="AQ16" s="13"/>
      <c r="AR16" s="13"/>
      <c r="AS16" s="15">
        <f t="shared" si="13"/>
        <v>-21.140362890393678</v>
      </c>
      <c r="AT16" s="15">
        <f t="shared" si="14"/>
        <v>0.16219748034255035</v>
      </c>
    </row>
    <row r="17" spans="1:46" x14ac:dyDescent="0.15">
      <c r="A17" s="1" t="s">
        <v>16</v>
      </c>
      <c r="B17" s="1" t="s">
        <v>32</v>
      </c>
      <c r="C17" s="1" t="s">
        <v>115</v>
      </c>
      <c r="D17" s="1" t="s">
        <v>129</v>
      </c>
      <c r="E17" s="10">
        <v>333.21843701728898</v>
      </c>
      <c r="F17" s="10">
        <v>333.50662943556699</v>
      </c>
      <c r="G17" s="10">
        <v>333.548971694378</v>
      </c>
      <c r="J17" s="11">
        <f t="shared" si="3"/>
        <v>333.42467938241134</v>
      </c>
      <c r="K17" s="11">
        <f t="shared" si="4"/>
        <v>0.17986147891849583</v>
      </c>
      <c r="L17" s="1">
        <v>-79.905178272680303</v>
      </c>
      <c r="M17" s="1">
        <v>-79.297413982862395</v>
      </c>
      <c r="N17" s="1">
        <v>-80.031596362854103</v>
      </c>
      <c r="O17" s="11"/>
      <c r="P17" s="11"/>
      <c r="Q17" s="11">
        <f t="shared" si="5"/>
        <v>-79.744729539465595</v>
      </c>
      <c r="R17" s="11">
        <f t="shared" si="6"/>
        <v>0.39250960340509411</v>
      </c>
      <c r="S17" s="1">
        <v>-0.21315117390476801</v>
      </c>
      <c r="T17" s="1">
        <v>-0.211121612119408</v>
      </c>
      <c r="U17" s="1">
        <v>-0.21329255186326199</v>
      </c>
      <c r="V17" s="11"/>
      <c r="W17" s="11"/>
      <c r="X17" s="11">
        <f t="shared" si="7"/>
        <v>-0.21252177929581265</v>
      </c>
      <c r="Y17" s="11">
        <f t="shared" si="8"/>
        <v>1.2146390505815895E-3</v>
      </c>
      <c r="Z17" s="3">
        <f>L17-298.15*S17</f>
        <v>-16.354155772973726</v>
      </c>
      <c r="AA17" s="3">
        <f>M17-298.15*T17</f>
        <v>-16.351505329460906</v>
      </c>
      <c r="AB17" s="3">
        <f>N17-298.15*U17</f>
        <v>-16.438422024822543</v>
      </c>
      <c r="AC17" s="11"/>
      <c r="AD17" s="11"/>
      <c r="AE17" s="12">
        <f t="shared" si="9"/>
        <v>-16.381361042419059</v>
      </c>
      <c r="AF17" s="12">
        <f t="shared" si="10"/>
        <v>4.9434026715833634E-2</v>
      </c>
      <c r="AG17" s="13">
        <f>L17-310.15*S17</f>
        <v>-13.796341686116506</v>
      </c>
      <c r="AH17" s="13">
        <f>M17-310.15*T17</f>
        <v>-13.818045984028004</v>
      </c>
      <c r="AI17" s="13">
        <f>N17-310.15*U17</f>
        <v>-13.878911402463402</v>
      </c>
      <c r="AJ17" s="13"/>
      <c r="AK17" s="13"/>
      <c r="AL17" s="14">
        <f t="shared" si="11"/>
        <v>-13.831099690869303</v>
      </c>
      <c r="AM17" s="14">
        <f t="shared" si="12"/>
        <v>4.2804660507071726E-2</v>
      </c>
      <c r="AN17" s="13">
        <f>L17-274.15*S17</f>
        <v>-21.46978394668816</v>
      </c>
      <c r="AO17" s="13">
        <f>M17-274.15*T17</f>
        <v>-21.418424020326697</v>
      </c>
      <c r="AP17" s="13">
        <f>N17-274.15*U17</f>
        <v>-21.557443269540833</v>
      </c>
      <c r="AQ17" s="13"/>
      <c r="AR17" s="13"/>
      <c r="AS17" s="15">
        <f t="shared" si="13"/>
        <v>-21.481883745518562</v>
      </c>
      <c r="AT17" s="15">
        <f t="shared" si="14"/>
        <v>7.0295033692414771E-2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DD2B-AA57-4B6D-BE48-97CE7436A906}">
  <dimension ref="A1:AZ17"/>
  <sheetViews>
    <sheetView tabSelected="1" workbookViewId="0">
      <selection activeCell="AX1" sqref="AX1"/>
    </sheetView>
  </sheetViews>
  <sheetFormatPr baseColWidth="10" defaultColWidth="8.6640625" defaultRowHeight="14" x14ac:dyDescent="0.15"/>
  <cols>
    <col min="1" max="28" width="8.6640625" style="1"/>
    <col min="29" max="34" width="8.6640625" style="1" customWidth="1"/>
    <col min="35" max="36" width="8.6640625" style="16"/>
    <col min="37" max="42" width="8.6640625" style="4" customWidth="1"/>
    <col min="43" max="44" width="8.6640625" style="6"/>
    <col min="45" max="50" width="8.6640625" style="4" customWidth="1"/>
    <col min="51" max="52" width="8.6640625" style="17"/>
    <col min="53" max="16384" width="8.6640625" style="1"/>
  </cols>
  <sheetData>
    <row r="1" spans="1:52" x14ac:dyDescent="0.15">
      <c r="A1" s="1" t="s">
        <v>0</v>
      </c>
      <c r="B1" s="1" t="s">
        <v>97</v>
      </c>
      <c r="C1" s="1" t="s">
        <v>98</v>
      </c>
      <c r="D1" s="1" t="s">
        <v>99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85</v>
      </c>
      <c r="J1" s="1" t="s">
        <v>91</v>
      </c>
      <c r="K1" s="7" t="s">
        <v>36</v>
      </c>
      <c r="L1" s="7" t="s">
        <v>37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86</v>
      </c>
      <c r="R1" s="1" t="s">
        <v>92</v>
      </c>
      <c r="S1" s="7" t="s">
        <v>38</v>
      </c>
      <c r="T1" s="7" t="s">
        <v>39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87</v>
      </c>
      <c r="Z1" s="1" t="s">
        <v>93</v>
      </c>
      <c r="AA1" s="7" t="s">
        <v>40</v>
      </c>
      <c r="AB1" s="7" t="s">
        <v>41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88</v>
      </c>
      <c r="AH1" s="1" t="s">
        <v>94</v>
      </c>
      <c r="AI1" s="8" t="s">
        <v>33</v>
      </c>
      <c r="AJ1" s="8" t="s">
        <v>58</v>
      </c>
      <c r="AK1" s="4" t="s">
        <v>77</v>
      </c>
      <c r="AL1" s="4" t="s">
        <v>78</v>
      </c>
      <c r="AM1" s="4" t="s">
        <v>79</v>
      </c>
      <c r="AN1" s="4" t="s">
        <v>80</v>
      </c>
      <c r="AO1" s="4" t="s">
        <v>89</v>
      </c>
      <c r="AP1" s="4" t="s">
        <v>95</v>
      </c>
      <c r="AQ1" s="5" t="s">
        <v>34</v>
      </c>
      <c r="AR1" s="5" t="s">
        <v>59</v>
      </c>
      <c r="AS1" s="4" t="s">
        <v>81</v>
      </c>
      <c r="AT1" s="4" t="s">
        <v>82</v>
      </c>
      <c r="AU1" s="4" t="s">
        <v>83</v>
      </c>
      <c r="AV1" s="4" t="s">
        <v>84</v>
      </c>
      <c r="AW1" s="4" t="s">
        <v>90</v>
      </c>
      <c r="AX1" s="4" t="s">
        <v>96</v>
      </c>
      <c r="AY1" s="9" t="s">
        <v>35</v>
      </c>
      <c r="AZ1" s="9" t="s">
        <v>60</v>
      </c>
    </row>
    <row r="2" spans="1:52" x14ac:dyDescent="0.15">
      <c r="A2" s="1" t="s">
        <v>1</v>
      </c>
      <c r="B2" s="1" t="s">
        <v>42</v>
      </c>
      <c r="C2" s="1" t="s">
        <v>100</v>
      </c>
      <c r="D2" s="1" t="s">
        <v>116</v>
      </c>
      <c r="E2" s="10">
        <v>308.02916190211101</v>
      </c>
      <c r="F2" s="10">
        <v>308.60811549516399</v>
      </c>
      <c r="G2" s="10">
        <v>307.88176388471902</v>
      </c>
      <c r="K2" s="11">
        <f>AVERAGE(E2:J2)</f>
        <v>308.17301376066467</v>
      </c>
      <c r="L2" s="11">
        <f>STDEV(E2:J2)</f>
        <v>0.38394880310531659</v>
      </c>
      <c r="M2" s="1">
        <v>-51.735868760344502</v>
      </c>
      <c r="N2" s="1">
        <v>-58.050403520375298</v>
      </c>
      <c r="O2" s="1">
        <v>-50.264954135226098</v>
      </c>
      <c r="P2" s="11"/>
      <c r="Q2" s="11"/>
      <c r="R2" s="11"/>
      <c r="S2" s="11">
        <f>AVERAGE(M2:R2)</f>
        <v>-53.350408805315304</v>
      </c>
      <c r="T2" s="11">
        <f>STDEV(M2:R2)</f>
        <v>4.1362253565044949</v>
      </c>
      <c r="U2" s="1">
        <v>-0.14131068068510699</v>
      </c>
      <c r="V2" s="1">
        <v>-0.16145692679944901</v>
      </c>
      <c r="W2" s="1">
        <v>-0.136613559377007</v>
      </c>
      <c r="X2" s="3"/>
      <c r="Y2" s="3"/>
      <c r="Z2" s="3"/>
      <c r="AA2" s="11">
        <f>AVERAGE(U2:Z2)</f>
        <v>-0.14646038895385435</v>
      </c>
      <c r="AB2" s="11">
        <f>STDEV(U2:Z2)</f>
        <v>1.3198024384790199E-2</v>
      </c>
      <c r="AC2" s="3">
        <f t="shared" ref="AC2:AC17" si="0">M2-298.15*U2</f>
        <v>-9.6040893140798573</v>
      </c>
      <c r="AD2" s="3">
        <f t="shared" ref="AD2:AD17" si="1">N2-298.15*V2</f>
        <v>-9.9120207951195809</v>
      </c>
      <c r="AE2" s="3">
        <f t="shared" ref="AE2:AE17" si="2">O2-298.15*W2</f>
        <v>-9.5336214069714629</v>
      </c>
      <c r="AF2" s="11"/>
      <c r="AG2" s="11"/>
      <c r="AH2" s="11"/>
      <c r="AI2" s="12">
        <f>AVERAGE(AC2:AH2)</f>
        <v>-9.6832438387236337</v>
      </c>
      <c r="AJ2" s="12">
        <f>STDEV(AC2:AH2)</f>
        <v>0.20123519403027934</v>
      </c>
      <c r="AK2" s="13">
        <f t="shared" ref="AK2:AK17" si="3">M2-310.15*U2</f>
        <v>-7.9083611458585708</v>
      </c>
      <c r="AL2" s="13">
        <f t="shared" ref="AL2:AL17" si="4">N2-310.15*V2</f>
        <v>-7.9745376735261928</v>
      </c>
      <c r="AM2" s="13">
        <f t="shared" ref="AM2:AM17" si="5">O2-310.15*W2</f>
        <v>-7.8942586944473803</v>
      </c>
      <c r="AN2" s="13"/>
      <c r="AO2" s="13"/>
      <c r="AP2" s="13"/>
      <c r="AQ2" s="14">
        <f>AVERAGE(AK2:AP2)</f>
        <v>-7.9257191712773816</v>
      </c>
      <c r="AR2" s="14">
        <f>STDEV(AK2:AP2)</f>
        <v>4.2862039210870027E-2</v>
      </c>
      <c r="AS2" s="13">
        <f t="shared" ref="AS2:AS17" si="6">M2-274.15*U2</f>
        <v>-12.995545650522423</v>
      </c>
      <c r="AT2" s="13">
        <f t="shared" ref="AT2:AT17" si="7">N2-274.15*V2</f>
        <v>-13.786987038306357</v>
      </c>
      <c r="AU2" s="13">
        <f t="shared" ref="AU2:AU17" si="8">O2-274.15*W2</f>
        <v>-12.812346832019628</v>
      </c>
      <c r="AV2" s="13"/>
      <c r="AW2" s="13"/>
      <c r="AX2" s="13"/>
      <c r="AY2" s="15">
        <f>AVERAGE(AS2:AX2)</f>
        <v>-13.198293173616136</v>
      </c>
      <c r="AZ2" s="15">
        <f>STDEV(AS2:AX2)</f>
        <v>0.51798725999597339</v>
      </c>
    </row>
    <row r="3" spans="1:52" x14ac:dyDescent="0.15">
      <c r="A3" s="1" t="s">
        <v>2</v>
      </c>
      <c r="B3" s="1" t="s">
        <v>43</v>
      </c>
      <c r="C3" s="1" t="s">
        <v>101</v>
      </c>
      <c r="D3" s="1" t="s">
        <v>117</v>
      </c>
      <c r="E3" s="10">
        <v>313.08327205589097</v>
      </c>
      <c r="F3" s="10">
        <v>313.58247621333601</v>
      </c>
      <c r="G3" s="10">
        <v>313.07226830944802</v>
      </c>
      <c r="K3" s="11">
        <f t="shared" ref="K3:K17" si="9">AVERAGE(E3:J3)</f>
        <v>313.24600552622496</v>
      </c>
      <c r="L3" s="11">
        <f t="shared" ref="L3:L17" si="10">STDEV(E3:J3)</f>
        <v>0.29144409939585408</v>
      </c>
      <c r="M3" s="1">
        <v>-57.245084850313503</v>
      </c>
      <c r="N3" s="1">
        <v>-55.963729606115102</v>
      </c>
      <c r="O3" s="1">
        <v>-60.488208319544299</v>
      </c>
      <c r="P3" s="11"/>
      <c r="Q3" s="11"/>
      <c r="R3" s="11"/>
      <c r="S3" s="11">
        <f t="shared" ref="S3:S17" si="11">AVERAGE(M3:R3)</f>
        <v>-57.899007591990966</v>
      </c>
      <c r="T3" s="11">
        <f t="shared" ref="T3:T17" si="12">STDEV(M3:R3)</f>
        <v>2.33204590888145</v>
      </c>
      <c r="U3" s="1">
        <v>-0.15619598374077601</v>
      </c>
      <c r="V3" s="1">
        <v>-0.15181872629082899</v>
      </c>
      <c r="W3" s="1">
        <v>-0.16656143528578199</v>
      </c>
      <c r="X3" s="11"/>
      <c r="Y3" s="11"/>
      <c r="Z3" s="11"/>
      <c r="AA3" s="11">
        <f t="shared" ref="AA3:AA17" si="13">AVERAGE(U3:Z3)</f>
        <v>-0.15819204843912898</v>
      </c>
      <c r="AB3" s="11">
        <f t="shared" ref="AB3:AB17" si="14">STDEV(U3:Z3)</f>
        <v>7.5713323026713924E-3</v>
      </c>
      <c r="AC3" s="3">
        <f t="shared" si="0"/>
        <v>-10.675252298001141</v>
      </c>
      <c r="AD3" s="3">
        <f t="shared" si="1"/>
        <v>-10.698976362504446</v>
      </c>
      <c r="AE3" s="3">
        <f t="shared" si="2"/>
        <v>-10.827916389088401</v>
      </c>
      <c r="AF3" s="11"/>
      <c r="AG3" s="11"/>
      <c r="AH3" s="11"/>
      <c r="AI3" s="12">
        <f t="shared" ref="AI3:AI17" si="15">AVERAGE(AC3:AH3)</f>
        <v>-10.734048349864663</v>
      </c>
      <c r="AJ3" s="12">
        <f t="shared" ref="AJ3:AJ17" si="16">STDEV(AC3:AH3)</f>
        <v>8.2152993858539303E-2</v>
      </c>
      <c r="AK3" s="13">
        <f t="shared" si="3"/>
        <v>-8.8009004931118255</v>
      </c>
      <c r="AL3" s="13">
        <f t="shared" si="4"/>
        <v>-8.8771516470144931</v>
      </c>
      <c r="AM3" s="13">
        <f t="shared" si="5"/>
        <v>-8.8291791656590206</v>
      </c>
      <c r="AN3" s="13"/>
      <c r="AO3" s="13"/>
      <c r="AP3" s="13"/>
      <c r="AQ3" s="14">
        <f t="shared" ref="AQ3:AQ17" si="17">AVERAGE(AK3:AP3)</f>
        <v>-8.8357437685951137</v>
      </c>
      <c r="AR3" s="14">
        <f t="shared" ref="AR3:AR17" si="18">STDEV(AK3:AP3)</f>
        <v>3.8547115672297572E-2</v>
      </c>
      <c r="AS3" s="13">
        <f t="shared" si="6"/>
        <v>-14.423955907779764</v>
      </c>
      <c r="AT3" s="13">
        <f t="shared" si="7"/>
        <v>-14.342625793484338</v>
      </c>
      <c r="AU3" s="13">
        <f t="shared" si="8"/>
        <v>-14.825390835947168</v>
      </c>
      <c r="AV3" s="13"/>
      <c r="AW3" s="13"/>
      <c r="AX3" s="13"/>
      <c r="AY3" s="15">
        <f t="shared" ref="AY3:AY17" si="19">AVERAGE(AS3:AX3)</f>
        <v>-14.530657512403756</v>
      </c>
      <c r="AZ3" s="15">
        <f t="shared" ref="AZ3:AZ17" si="20">STDEV(AS3:AX3)</f>
        <v>0.25846556033258228</v>
      </c>
    </row>
    <row r="4" spans="1:52" x14ac:dyDescent="0.15">
      <c r="A4" s="1" t="s">
        <v>3</v>
      </c>
      <c r="B4" s="1" t="s">
        <v>44</v>
      </c>
      <c r="C4" s="1" t="s">
        <v>102</v>
      </c>
      <c r="D4" s="1" t="s">
        <v>118</v>
      </c>
      <c r="E4" s="10">
        <v>311.67261345258697</v>
      </c>
      <c r="F4" s="10">
        <v>311.41512853273701</v>
      </c>
      <c r="G4" s="10">
        <v>311.23946072852101</v>
      </c>
      <c r="K4" s="11">
        <f t="shared" si="9"/>
        <v>311.442400904615</v>
      </c>
      <c r="L4" s="11">
        <f t="shared" si="10"/>
        <v>0.21786040781273056</v>
      </c>
      <c r="M4" s="1">
        <v>-64.741368818179396</v>
      </c>
      <c r="N4" s="1">
        <v>-68.998172005911798</v>
      </c>
      <c r="O4" s="1">
        <v>-68.290510657148204</v>
      </c>
      <c r="P4" s="11"/>
      <c r="Q4" s="11"/>
      <c r="R4" s="11"/>
      <c r="S4" s="11">
        <f t="shared" si="11"/>
        <v>-67.34335049374647</v>
      </c>
      <c r="T4" s="11">
        <f t="shared" si="12"/>
        <v>2.2809926843643296</v>
      </c>
      <c r="U4" s="1">
        <v>-0.18107533689790001</v>
      </c>
      <c r="V4" s="1">
        <v>-0.194916310461413</v>
      </c>
      <c r="W4" s="1">
        <v>-0.192767676081887</v>
      </c>
      <c r="X4" s="11"/>
      <c r="Y4" s="11"/>
      <c r="Z4" s="11"/>
      <c r="AA4" s="11">
        <f t="shared" si="13"/>
        <v>-0.18958644114706669</v>
      </c>
      <c r="AB4" s="11">
        <f t="shared" si="14"/>
        <v>7.4487132499081584E-3</v>
      </c>
      <c r="AC4" s="3">
        <f t="shared" si="0"/>
        <v>-10.75375712207051</v>
      </c>
      <c r="AD4" s="3">
        <f t="shared" si="1"/>
        <v>-10.883874041841516</v>
      </c>
      <c r="AE4" s="3">
        <f t="shared" si="2"/>
        <v>-10.8168280333336</v>
      </c>
      <c r="AF4" s="11"/>
      <c r="AG4" s="11"/>
      <c r="AH4" s="11"/>
      <c r="AI4" s="12">
        <f t="shared" si="15"/>
        <v>-10.818153065748541</v>
      </c>
      <c r="AJ4" s="12">
        <f t="shared" si="16"/>
        <v>6.506857909812569E-2</v>
      </c>
      <c r="AK4" s="13">
        <f t="shared" si="3"/>
        <v>-8.5808530792957143</v>
      </c>
      <c r="AL4" s="13">
        <f t="shared" si="4"/>
        <v>-8.5448783163045618</v>
      </c>
      <c r="AM4" s="13">
        <f t="shared" si="5"/>
        <v>-8.5036159203509527</v>
      </c>
      <c r="AN4" s="13"/>
      <c r="AO4" s="13"/>
      <c r="AP4" s="13"/>
      <c r="AQ4" s="14">
        <f t="shared" si="17"/>
        <v>-8.5431157719837429</v>
      </c>
      <c r="AR4" s="14">
        <f t="shared" si="18"/>
        <v>3.8648733515171348E-2</v>
      </c>
      <c r="AS4" s="13">
        <f t="shared" si="6"/>
        <v>-15.09956520762011</v>
      </c>
      <c r="AT4" s="13">
        <f t="shared" si="7"/>
        <v>-15.56186549291543</v>
      </c>
      <c r="AU4" s="13">
        <f t="shared" si="8"/>
        <v>-15.443252259298887</v>
      </c>
      <c r="AV4" s="13"/>
      <c r="AW4" s="13"/>
      <c r="AX4" s="13"/>
      <c r="AY4" s="15">
        <f t="shared" si="19"/>
        <v>-15.368227653278142</v>
      </c>
      <c r="AZ4" s="15">
        <f t="shared" si="20"/>
        <v>0.24010811539275326</v>
      </c>
    </row>
    <row r="5" spans="1:52" x14ac:dyDescent="0.15">
      <c r="A5" s="1" t="s">
        <v>4</v>
      </c>
      <c r="B5" s="1" t="s">
        <v>45</v>
      </c>
      <c r="C5" s="1" t="s">
        <v>103</v>
      </c>
      <c r="D5" s="1" t="s">
        <v>119</v>
      </c>
      <c r="E5" s="10">
        <v>307.24623338663599</v>
      </c>
      <c r="F5" s="10">
        <v>307.43446655059</v>
      </c>
      <c r="G5" s="10">
        <v>308.365196399681</v>
      </c>
      <c r="K5" s="11">
        <f t="shared" si="9"/>
        <v>307.68196544563563</v>
      </c>
      <c r="L5" s="11">
        <f t="shared" si="10"/>
        <v>0.59913381929858212</v>
      </c>
      <c r="M5" s="1">
        <v>-51.589452268775901</v>
      </c>
      <c r="N5" s="1">
        <v>-65.845868132555196</v>
      </c>
      <c r="O5" s="1">
        <v>-55.589490878336797</v>
      </c>
      <c r="P5" s="11"/>
      <c r="Q5" s="11"/>
      <c r="R5" s="11"/>
      <c r="S5" s="11">
        <f t="shared" si="11"/>
        <v>-57.674937093222631</v>
      </c>
      <c r="T5" s="11">
        <f t="shared" si="12"/>
        <v>7.353445638382123</v>
      </c>
      <c r="U5" s="1">
        <v>-0.14126212802840399</v>
      </c>
      <c r="V5" s="1">
        <v>-0.187531532867141</v>
      </c>
      <c r="W5" s="1">
        <v>-0.15362459477746501</v>
      </c>
      <c r="X5" s="11"/>
      <c r="Y5" s="11"/>
      <c r="Z5" s="11"/>
      <c r="AA5" s="11">
        <f t="shared" si="13"/>
        <v>-0.16080608522433668</v>
      </c>
      <c r="AB5" s="11">
        <f t="shared" si="14"/>
        <v>2.3956101724020521E-2</v>
      </c>
      <c r="AC5" s="3">
        <f t="shared" si="0"/>
        <v>-9.472148797107252</v>
      </c>
      <c r="AD5" s="3">
        <f t="shared" si="1"/>
        <v>-9.9333416082171127</v>
      </c>
      <c r="AE5" s="3">
        <f t="shared" si="2"/>
        <v>-9.7863179454356057</v>
      </c>
      <c r="AF5" s="11"/>
      <c r="AG5" s="11"/>
      <c r="AH5" s="11"/>
      <c r="AI5" s="12">
        <f t="shared" si="15"/>
        <v>-9.7306027835866562</v>
      </c>
      <c r="AJ5" s="12">
        <f t="shared" si="16"/>
        <v>0.23559040027077682</v>
      </c>
      <c r="AK5" s="13">
        <f t="shared" si="3"/>
        <v>-7.7770032607664064</v>
      </c>
      <c r="AL5" s="13">
        <f t="shared" si="4"/>
        <v>-7.6829632138114192</v>
      </c>
      <c r="AM5" s="13">
        <f t="shared" si="5"/>
        <v>-7.9428228081060297</v>
      </c>
      <c r="AN5" s="13"/>
      <c r="AO5" s="13"/>
      <c r="AP5" s="13"/>
      <c r="AQ5" s="14">
        <f t="shared" si="17"/>
        <v>-7.8009297608946184</v>
      </c>
      <c r="AR5" s="14">
        <f t="shared" si="18"/>
        <v>0.13157169240770936</v>
      </c>
      <c r="AS5" s="13">
        <f t="shared" si="6"/>
        <v>-12.86243986978895</v>
      </c>
      <c r="AT5" s="13">
        <f t="shared" si="7"/>
        <v>-14.434098397028492</v>
      </c>
      <c r="AU5" s="13">
        <f t="shared" si="8"/>
        <v>-13.473308220094765</v>
      </c>
      <c r="AV5" s="13"/>
      <c r="AW5" s="13"/>
      <c r="AX5" s="13"/>
      <c r="AY5" s="15">
        <f t="shared" si="19"/>
        <v>-13.589948828970735</v>
      </c>
      <c r="AZ5" s="15">
        <f t="shared" si="20"/>
        <v>0.79229502414846043</v>
      </c>
    </row>
    <row r="6" spans="1:52" s="2" customFormat="1" x14ac:dyDescent="0.15">
      <c r="A6" s="2" t="s">
        <v>5</v>
      </c>
      <c r="B6" s="18" t="s">
        <v>46</v>
      </c>
      <c r="C6" s="18" t="s">
        <v>104</v>
      </c>
      <c r="D6" s="18" t="s">
        <v>120</v>
      </c>
      <c r="E6" s="25"/>
      <c r="F6" s="25"/>
      <c r="G6" s="25"/>
      <c r="H6" s="25"/>
      <c r="I6" s="18"/>
      <c r="J6" s="18"/>
      <c r="K6" s="19"/>
      <c r="L6" s="19"/>
      <c r="S6" s="19"/>
      <c r="T6" s="19"/>
      <c r="AA6" s="19"/>
      <c r="AB6" s="19"/>
      <c r="AC6" s="20"/>
      <c r="AD6" s="20"/>
      <c r="AE6" s="20"/>
      <c r="AF6" s="20"/>
      <c r="AG6" s="19"/>
      <c r="AH6" s="19"/>
      <c r="AI6" s="21"/>
      <c r="AJ6" s="21"/>
      <c r="AK6" s="22"/>
      <c r="AL6" s="22"/>
      <c r="AM6" s="22"/>
      <c r="AN6" s="22"/>
      <c r="AO6" s="22"/>
      <c r="AP6" s="22"/>
      <c r="AQ6" s="23"/>
      <c r="AR6" s="23"/>
      <c r="AS6" s="22"/>
      <c r="AT6" s="22"/>
      <c r="AU6" s="22"/>
      <c r="AV6" s="22"/>
      <c r="AW6" s="22"/>
      <c r="AX6" s="22"/>
      <c r="AY6" s="24"/>
      <c r="AZ6" s="24"/>
    </row>
    <row r="7" spans="1:52" x14ac:dyDescent="0.15">
      <c r="A7" s="1" t="s">
        <v>6</v>
      </c>
      <c r="B7" s="1" t="s">
        <v>47</v>
      </c>
      <c r="C7" s="1" t="s">
        <v>105</v>
      </c>
      <c r="D7" s="1" t="s">
        <v>121</v>
      </c>
      <c r="E7" s="10">
        <v>322.34521601173401</v>
      </c>
      <c r="F7" s="10">
        <v>322.45522070493502</v>
      </c>
      <c r="G7" s="10">
        <v>321.21381129875698</v>
      </c>
      <c r="H7" s="10">
        <v>322.09517121108303</v>
      </c>
      <c r="K7" s="11">
        <f t="shared" si="9"/>
        <v>322.02735480662727</v>
      </c>
      <c r="L7" s="11">
        <f t="shared" si="10"/>
        <v>0.56289640152749454</v>
      </c>
      <c r="M7" s="1">
        <v>-82.834049076558998</v>
      </c>
      <c r="N7" s="1">
        <v>-79.396896749401705</v>
      </c>
      <c r="O7" s="1">
        <v>-83.128462843326901</v>
      </c>
      <c r="P7" s="1">
        <v>-81.502182058882397</v>
      </c>
      <c r="S7" s="11">
        <f t="shared" si="11"/>
        <v>-81.715397682042493</v>
      </c>
      <c r="T7" s="11">
        <f t="shared" si="12"/>
        <v>1.6999060335898177</v>
      </c>
      <c r="U7" s="1">
        <v>-0.23032608220819401</v>
      </c>
      <c r="V7" s="1">
        <v>-0.219579099831888</v>
      </c>
      <c r="W7" s="1">
        <v>-0.23214777953688001</v>
      </c>
      <c r="X7" s="1">
        <v>-0.22639056145629499</v>
      </c>
      <c r="AA7" s="11">
        <f t="shared" si="13"/>
        <v>-0.22711088075831426</v>
      </c>
      <c r="AB7" s="11">
        <f t="shared" si="14"/>
        <v>5.5664007967257106E-3</v>
      </c>
      <c r="AC7" s="3">
        <f t="shared" si="0"/>
        <v>-14.162327666185959</v>
      </c>
      <c r="AD7" s="3">
        <f t="shared" si="1"/>
        <v>-13.929388134524302</v>
      </c>
      <c r="AE7" s="3">
        <f t="shared" si="2"/>
        <v>-13.913602374406125</v>
      </c>
      <c r="AF7" s="3">
        <f>P7-298.15*X7</f>
        <v>-14.003836160688053</v>
      </c>
      <c r="AG7" s="11"/>
      <c r="AH7" s="11"/>
      <c r="AI7" s="12">
        <f t="shared" si="15"/>
        <v>-14.00228858395111</v>
      </c>
      <c r="AJ7" s="12">
        <f t="shared" si="16"/>
        <v>0.11371693237511162</v>
      </c>
      <c r="AK7" s="13">
        <f t="shared" si="3"/>
        <v>-11.398414679687633</v>
      </c>
      <c r="AL7" s="13">
        <f t="shared" si="4"/>
        <v>-11.294438936541653</v>
      </c>
      <c r="AM7" s="13">
        <f t="shared" si="5"/>
        <v>-11.127829019963571</v>
      </c>
      <c r="AN7" s="13">
        <f>P7-310.15*X7</f>
        <v>-11.287149423212512</v>
      </c>
      <c r="AO7" s="13"/>
      <c r="AP7" s="13"/>
      <c r="AQ7" s="14">
        <f t="shared" si="17"/>
        <v>-11.276958014851342</v>
      </c>
      <c r="AR7" s="14">
        <f t="shared" si="18"/>
        <v>0.11165516255704287</v>
      </c>
      <c r="AS7" s="13">
        <f t="shared" si="6"/>
        <v>-19.690153639182618</v>
      </c>
      <c r="AT7" s="13">
        <f t="shared" si="7"/>
        <v>-19.199286530489616</v>
      </c>
      <c r="AU7" s="13">
        <f t="shared" si="8"/>
        <v>-19.485149083291248</v>
      </c>
      <c r="AV7" s="13">
        <f>P7-274.15*X7</f>
        <v>-19.437209635639128</v>
      </c>
      <c r="AW7" s="13"/>
      <c r="AX7" s="13"/>
      <c r="AY7" s="15">
        <f t="shared" si="19"/>
        <v>-19.452949722150652</v>
      </c>
      <c r="AZ7" s="15">
        <f t="shared" si="20"/>
        <v>0.20157319782172134</v>
      </c>
    </row>
    <row r="8" spans="1:52" x14ac:dyDescent="0.15">
      <c r="A8" s="1" t="s">
        <v>7</v>
      </c>
      <c r="B8" s="1" t="s">
        <v>48</v>
      </c>
      <c r="C8" s="1" t="s">
        <v>106</v>
      </c>
      <c r="D8" s="1" t="s">
        <v>122</v>
      </c>
      <c r="E8" s="10">
        <v>318.25317224295202</v>
      </c>
      <c r="F8" s="10">
        <v>318.34277815114501</v>
      </c>
      <c r="G8" s="10">
        <v>318.49034466834399</v>
      </c>
      <c r="K8" s="11">
        <f t="shared" si="9"/>
        <v>318.36209835414701</v>
      </c>
      <c r="L8" s="11">
        <f t="shared" si="10"/>
        <v>0.11976077206083283</v>
      </c>
      <c r="M8" s="1">
        <v>-75.129970067745504</v>
      </c>
      <c r="N8" s="1">
        <v>-72.090633442507993</v>
      </c>
      <c r="O8" s="1">
        <v>-76.915595631051204</v>
      </c>
      <c r="S8" s="11">
        <f t="shared" si="11"/>
        <v>-74.712066380434905</v>
      </c>
      <c r="T8" s="11">
        <f t="shared" si="12"/>
        <v>2.4394769212105225</v>
      </c>
      <c r="U8" s="1">
        <v>-0.209422806385995</v>
      </c>
      <c r="V8" s="1">
        <v>-0.19980898730108701</v>
      </c>
      <c r="W8" s="1">
        <v>-0.21485354028345</v>
      </c>
      <c r="AA8" s="11">
        <f t="shared" si="13"/>
        <v>-0.208028444656844</v>
      </c>
      <c r="AB8" s="11">
        <f t="shared" si="14"/>
        <v>7.6185843227972788E-3</v>
      </c>
      <c r="AC8" s="3">
        <f t="shared" si="0"/>
        <v>-12.690560343761099</v>
      </c>
      <c r="AD8" s="3">
        <f t="shared" si="1"/>
        <v>-12.517583878688903</v>
      </c>
      <c r="AE8" s="3">
        <f t="shared" si="2"/>
        <v>-12.857012595540596</v>
      </c>
      <c r="AF8" s="11"/>
      <c r="AG8" s="11"/>
      <c r="AH8" s="11"/>
      <c r="AI8" s="12">
        <f t="shared" si="15"/>
        <v>-12.688385605996865</v>
      </c>
      <c r="AJ8" s="12">
        <f t="shared" si="16"/>
        <v>0.169724808349145</v>
      </c>
      <c r="AK8" s="13">
        <f t="shared" si="3"/>
        <v>-10.177486667129159</v>
      </c>
      <c r="AL8" s="13">
        <f t="shared" si="4"/>
        <v>-10.119876031075862</v>
      </c>
      <c r="AM8" s="13">
        <f t="shared" si="5"/>
        <v>-10.278770112139199</v>
      </c>
      <c r="AN8" s="13"/>
      <c r="AO8" s="13"/>
      <c r="AP8" s="13"/>
      <c r="AQ8" s="14">
        <f t="shared" si="17"/>
        <v>-10.19204427011474</v>
      </c>
      <c r="AR8" s="14">
        <f t="shared" si="18"/>
        <v>8.0441128179277538E-2</v>
      </c>
      <c r="AS8" s="13">
        <f t="shared" si="6"/>
        <v>-17.716707697024979</v>
      </c>
      <c r="AT8" s="13">
        <f t="shared" si="7"/>
        <v>-17.312999573914993</v>
      </c>
      <c r="AU8" s="13">
        <f t="shared" si="8"/>
        <v>-18.013497562343396</v>
      </c>
      <c r="AV8" s="13"/>
      <c r="AW8" s="13"/>
      <c r="AX8" s="13"/>
      <c r="AY8" s="15">
        <f t="shared" si="19"/>
        <v>-17.681068277761124</v>
      </c>
      <c r="AZ8" s="15">
        <f t="shared" si="20"/>
        <v>0.35160629132903515</v>
      </c>
    </row>
    <row r="9" spans="1:52" x14ac:dyDescent="0.15">
      <c r="A9" s="1" t="s">
        <v>8</v>
      </c>
      <c r="B9" s="1" t="s">
        <v>49</v>
      </c>
      <c r="C9" s="1" t="s">
        <v>107</v>
      </c>
      <c r="D9" s="1" t="s">
        <v>123</v>
      </c>
      <c r="E9" s="10">
        <v>323.47305366273002</v>
      </c>
      <c r="F9" s="10">
        <v>322.86876204165401</v>
      </c>
      <c r="G9" s="10">
        <v>322.98524358380399</v>
      </c>
      <c r="K9" s="11">
        <f t="shared" si="9"/>
        <v>323.10901976272936</v>
      </c>
      <c r="L9" s="11">
        <f t="shared" si="10"/>
        <v>0.32059709555404536</v>
      </c>
      <c r="M9" s="1">
        <v>-73.0852145987066</v>
      </c>
      <c r="N9" s="1">
        <v>-73.424818237034998</v>
      </c>
      <c r="O9" s="1">
        <v>-70.345473915760905</v>
      </c>
      <c r="S9" s="11">
        <f t="shared" si="11"/>
        <v>-72.285168917167496</v>
      </c>
      <c r="T9" s="11">
        <f t="shared" si="12"/>
        <v>1.6883853771141146</v>
      </c>
      <c r="U9" s="1">
        <v>-0.19929209560428901</v>
      </c>
      <c r="V9" s="1">
        <v>-0.200766802379128</v>
      </c>
      <c r="W9" s="1">
        <v>-0.19115077844204501</v>
      </c>
      <c r="AA9" s="11">
        <f t="shared" si="13"/>
        <v>-0.19706989214182066</v>
      </c>
      <c r="AB9" s="11">
        <f t="shared" si="14"/>
        <v>5.1788628347440319E-3</v>
      </c>
      <c r="AC9" s="3">
        <f t="shared" si="0"/>
        <v>-13.666276294287833</v>
      </c>
      <c r="AD9" s="3">
        <f t="shared" si="1"/>
        <v>-13.566196107697991</v>
      </c>
      <c r="AE9" s="3">
        <f t="shared" si="2"/>
        <v>-13.353869323265194</v>
      </c>
      <c r="AF9" s="11"/>
      <c r="AG9" s="11"/>
      <c r="AH9" s="11"/>
      <c r="AI9" s="12">
        <f t="shared" si="15"/>
        <v>-13.528780575083672</v>
      </c>
      <c r="AJ9" s="12">
        <f t="shared" si="16"/>
        <v>0.15952890160248359</v>
      </c>
      <c r="AK9" s="13">
        <f t="shared" si="3"/>
        <v>-11.274771147036368</v>
      </c>
      <c r="AL9" s="13">
        <f t="shared" si="4"/>
        <v>-11.156994479148452</v>
      </c>
      <c r="AM9" s="13">
        <f t="shared" si="5"/>
        <v>-11.060059981960649</v>
      </c>
      <c r="AN9" s="13"/>
      <c r="AO9" s="13"/>
      <c r="AP9" s="13"/>
      <c r="AQ9" s="14">
        <f t="shared" si="17"/>
        <v>-11.163941869381823</v>
      </c>
      <c r="AR9" s="14">
        <f t="shared" si="18"/>
        <v>0.10752404742816506</v>
      </c>
      <c r="AS9" s="13">
        <f t="shared" si="6"/>
        <v>-18.44928658879077</v>
      </c>
      <c r="AT9" s="13">
        <f t="shared" si="7"/>
        <v>-18.384599364797062</v>
      </c>
      <c r="AU9" s="13">
        <f t="shared" si="8"/>
        <v>-17.94148800587427</v>
      </c>
      <c r="AV9" s="13"/>
      <c r="AW9" s="13"/>
      <c r="AX9" s="13"/>
      <c r="AY9" s="15">
        <f t="shared" si="19"/>
        <v>-18.258457986487368</v>
      </c>
      <c r="AZ9" s="15">
        <f t="shared" si="20"/>
        <v>0.2764029408208305</v>
      </c>
    </row>
    <row r="10" spans="1:52" x14ac:dyDescent="0.15">
      <c r="A10" s="1" t="s">
        <v>9</v>
      </c>
      <c r="B10" s="1" t="s">
        <v>50</v>
      </c>
      <c r="C10" s="1" t="s">
        <v>108</v>
      </c>
      <c r="D10" s="1" t="s">
        <v>124</v>
      </c>
      <c r="E10" s="10">
        <v>308.91564749631198</v>
      </c>
      <c r="F10" s="10">
        <v>309.00537012500598</v>
      </c>
      <c r="G10" s="10">
        <v>308.69166442408999</v>
      </c>
      <c r="K10" s="11">
        <f t="shared" si="9"/>
        <v>308.870894015136</v>
      </c>
      <c r="L10" s="11">
        <f t="shared" si="10"/>
        <v>0.16157033222354103</v>
      </c>
      <c r="M10" s="1">
        <v>-62.172412973757801</v>
      </c>
      <c r="N10" s="1">
        <v>-61.648696807027399</v>
      </c>
      <c r="O10" s="1">
        <v>-58.424697157211902</v>
      </c>
      <c r="S10" s="11">
        <f t="shared" si="11"/>
        <v>-60.748602312665703</v>
      </c>
      <c r="T10" s="11">
        <f t="shared" si="12"/>
        <v>2.0295248297279471</v>
      </c>
      <c r="U10" s="1">
        <v>-0.17461314437584499</v>
      </c>
      <c r="V10" s="1">
        <v>-0.17285986171537099</v>
      </c>
      <c r="W10" s="1">
        <v>-0.16261853171191001</v>
      </c>
      <c r="AA10" s="11">
        <f t="shared" si="13"/>
        <v>-0.17003051260104199</v>
      </c>
      <c r="AB10" s="11">
        <f t="shared" si="14"/>
        <v>6.4785488766793313E-3</v>
      </c>
      <c r="AC10" s="3">
        <f t="shared" si="0"/>
        <v>-10.11150397809962</v>
      </c>
      <c r="AD10" s="3">
        <f t="shared" si="1"/>
        <v>-10.11052903658954</v>
      </c>
      <c r="AE10" s="3">
        <f t="shared" si="2"/>
        <v>-9.9399819273059364</v>
      </c>
      <c r="AF10" s="11"/>
      <c r="AG10" s="11"/>
      <c r="AH10" s="11"/>
      <c r="AI10" s="12">
        <f t="shared" si="15"/>
        <v>-10.054004980665033</v>
      </c>
      <c r="AJ10" s="12">
        <f t="shared" si="16"/>
        <v>9.8748064035379432E-2</v>
      </c>
      <c r="AK10" s="13">
        <f t="shared" si="3"/>
        <v>-8.0161462455894821</v>
      </c>
      <c r="AL10" s="13">
        <f t="shared" si="4"/>
        <v>-8.0362106960050923</v>
      </c>
      <c r="AM10" s="13">
        <f t="shared" si="5"/>
        <v>-7.9885595467630139</v>
      </c>
      <c r="AN10" s="13"/>
      <c r="AO10" s="13"/>
      <c r="AP10" s="13"/>
      <c r="AQ10" s="14">
        <f t="shared" si="17"/>
        <v>-8.01363882945253</v>
      </c>
      <c r="AR10" s="14">
        <f t="shared" si="18"/>
        <v>2.3924325649547454E-2</v>
      </c>
      <c r="AS10" s="13">
        <f t="shared" si="6"/>
        <v>-14.302219443119903</v>
      </c>
      <c r="AT10" s="13">
        <f t="shared" si="7"/>
        <v>-14.259165717758449</v>
      </c>
      <c r="AU10" s="13">
        <f t="shared" si="8"/>
        <v>-13.842826688391774</v>
      </c>
      <c r="AV10" s="13"/>
      <c r="AW10" s="13"/>
      <c r="AX10" s="13"/>
      <c r="AY10" s="15">
        <f t="shared" si="19"/>
        <v>-14.134737283090042</v>
      </c>
      <c r="AZ10" s="15">
        <f t="shared" si="20"/>
        <v>0.25371687427070577</v>
      </c>
    </row>
    <row r="11" spans="1:52" x14ac:dyDescent="0.15">
      <c r="A11" s="1" t="s">
        <v>10</v>
      </c>
      <c r="B11" s="1" t="s">
        <v>51</v>
      </c>
      <c r="C11" s="1" t="s">
        <v>109</v>
      </c>
      <c r="D11" s="1" t="s">
        <v>125</v>
      </c>
      <c r="E11" s="10">
        <v>315.19365071616897</v>
      </c>
      <c r="F11" s="10">
        <v>315.47791224255297</v>
      </c>
      <c r="G11" s="10">
        <v>314.43854727046698</v>
      </c>
      <c r="H11" s="10">
        <v>314.76670126139999</v>
      </c>
      <c r="I11" s="10">
        <v>314.69565951376802</v>
      </c>
      <c r="K11" s="11">
        <f t="shared" si="9"/>
        <v>314.91449420087145</v>
      </c>
      <c r="L11" s="11">
        <f t="shared" si="10"/>
        <v>0.41582000418570736</v>
      </c>
      <c r="M11" s="1">
        <v>-70.995613575341196</v>
      </c>
      <c r="N11" s="1">
        <v>-66.720697687572596</v>
      </c>
      <c r="O11" s="1">
        <v>-63.741301550444703</v>
      </c>
      <c r="P11" s="1">
        <v>-65.833119873785904</v>
      </c>
      <c r="Q11" s="1">
        <v>-66.819748244611503</v>
      </c>
      <c r="S11" s="11">
        <f t="shared" si="11"/>
        <v>-66.822096186351175</v>
      </c>
      <c r="T11" s="11">
        <f t="shared" si="12"/>
        <v>2.6409233375863228</v>
      </c>
      <c r="U11" s="1">
        <v>-0.198597411334102</v>
      </c>
      <c r="V11" s="1">
        <v>-0.184843851911042</v>
      </c>
      <c r="W11" s="1">
        <v>-0.176067638051981</v>
      </c>
      <c r="X11" s="1">
        <v>-0.18250191681224301</v>
      </c>
      <c r="Y11" s="1">
        <v>-0.185684314301058</v>
      </c>
      <c r="AA11" s="11">
        <f t="shared" si="13"/>
        <v>-0.18553902648208523</v>
      </c>
      <c r="AB11" s="11">
        <f t="shared" si="14"/>
        <v>8.2151844945580702E-3</v>
      </c>
      <c r="AC11" s="3">
        <f t="shared" si="0"/>
        <v>-11.783795386078687</v>
      </c>
      <c r="AD11" s="3">
        <f t="shared" si="1"/>
        <v>-11.609503240295432</v>
      </c>
      <c r="AE11" s="3">
        <f t="shared" si="2"/>
        <v>-11.246735265246571</v>
      </c>
      <c r="AF11" s="3">
        <f>P11-298.15*X11</f>
        <v>-11.420173376215658</v>
      </c>
      <c r="AG11" s="3">
        <f>Q11-298.15*Y11</f>
        <v>-11.457969935751066</v>
      </c>
      <c r="AH11" s="11"/>
      <c r="AI11" s="12">
        <f t="shared" si="15"/>
        <v>-11.503635440717483</v>
      </c>
      <c r="AJ11" s="12">
        <f t="shared" si="16"/>
        <v>0.20294490673825719</v>
      </c>
      <c r="AK11" s="13">
        <f t="shared" si="3"/>
        <v>-9.400626450069467</v>
      </c>
      <c r="AL11" s="13">
        <f t="shared" si="4"/>
        <v>-9.3913770173629274</v>
      </c>
      <c r="AM11" s="13">
        <f t="shared" si="5"/>
        <v>-9.1339236086228013</v>
      </c>
      <c r="AN11" s="13">
        <f>P11-310.15*X11</f>
        <v>-9.2301503744687423</v>
      </c>
      <c r="AO11" s="13">
        <f>Q11-310.15*Y11</f>
        <v>-9.2297581641383672</v>
      </c>
      <c r="AP11" s="13"/>
      <c r="AQ11" s="14">
        <f t="shared" si="17"/>
        <v>-9.277167122932461</v>
      </c>
      <c r="AR11" s="14">
        <f t="shared" si="18"/>
        <v>0.11539388398520402</v>
      </c>
      <c r="AS11" s="13">
        <f t="shared" si="6"/>
        <v>-16.550133258097141</v>
      </c>
      <c r="AT11" s="13">
        <f t="shared" si="7"/>
        <v>-16.04575568616044</v>
      </c>
      <c r="AU11" s="13">
        <f t="shared" si="8"/>
        <v>-15.472358578494116</v>
      </c>
      <c r="AV11" s="13">
        <f>P11-274.15*X11</f>
        <v>-15.800219379709489</v>
      </c>
      <c r="AW11" s="13">
        <f>Q11-274.15*Y11</f>
        <v>-15.914393478976457</v>
      </c>
      <c r="AX11" s="13"/>
      <c r="AY11" s="15">
        <f t="shared" si="19"/>
        <v>-15.956572076287529</v>
      </c>
      <c r="AZ11" s="15">
        <f t="shared" si="20"/>
        <v>0.39400396700568641</v>
      </c>
    </row>
    <row r="12" spans="1:52" x14ac:dyDescent="0.15">
      <c r="A12" s="1" t="s">
        <v>11</v>
      </c>
      <c r="B12" s="1" t="s">
        <v>52</v>
      </c>
      <c r="C12" s="1" t="s">
        <v>110</v>
      </c>
      <c r="D12" s="1" t="s">
        <v>126</v>
      </c>
      <c r="E12" s="10">
        <v>309.84893751171398</v>
      </c>
      <c r="F12" s="1">
        <v>310.477938299958</v>
      </c>
      <c r="G12" s="10">
        <v>310.45034281933698</v>
      </c>
      <c r="K12" s="11">
        <f t="shared" si="9"/>
        <v>310.25907287700301</v>
      </c>
      <c r="L12" s="11">
        <f t="shared" si="10"/>
        <v>0.3554555401639346</v>
      </c>
      <c r="M12" s="1">
        <v>-57.9880678298329</v>
      </c>
      <c r="N12" s="1">
        <v>-59.7273899851373</v>
      </c>
      <c r="O12" s="1">
        <v>-64.665333475740795</v>
      </c>
      <c r="S12" s="11">
        <f t="shared" si="11"/>
        <v>-60.79359709690366</v>
      </c>
      <c r="T12" s="11">
        <f t="shared" si="12"/>
        <v>3.463966993259509</v>
      </c>
      <c r="U12" s="1">
        <v>-0.16050246425582901</v>
      </c>
      <c r="V12" s="1">
        <v>-0.165725395692257</v>
      </c>
      <c r="W12" s="1">
        <v>-0.18164823879460201</v>
      </c>
      <c r="AA12" s="11">
        <f t="shared" si="13"/>
        <v>-0.16929203291422934</v>
      </c>
      <c r="AB12" s="11">
        <f t="shared" si="14"/>
        <v>1.1014836404414915E-2</v>
      </c>
      <c r="AC12" s="3">
        <f t="shared" si="0"/>
        <v>-10.134258111957486</v>
      </c>
      <c r="AD12" s="3">
        <f t="shared" si="1"/>
        <v>-10.316363259490878</v>
      </c>
      <c r="AE12" s="3">
        <f t="shared" si="2"/>
        <v>-10.506911079130212</v>
      </c>
      <c r="AF12" s="11"/>
      <c r="AG12" s="11"/>
      <c r="AH12" s="11"/>
      <c r="AI12" s="12">
        <f>AVERAGE(AC12:AH12)</f>
        <v>-10.319177483526191</v>
      </c>
      <c r="AJ12" s="12">
        <f>STDEV(AC12:AH12)</f>
        <v>0.18634242237974144</v>
      </c>
      <c r="AK12" s="13">
        <f t="shared" si="3"/>
        <v>-8.2082285408875393</v>
      </c>
      <c r="AL12" s="13">
        <f t="shared" si="4"/>
        <v>-8.3276585111837989</v>
      </c>
      <c r="AM12" s="13">
        <f t="shared" si="5"/>
        <v>-8.3271322135949859</v>
      </c>
      <c r="AN12" s="13"/>
      <c r="AO12" s="13"/>
      <c r="AP12" s="13"/>
      <c r="AQ12" s="14">
        <f>AVERAGE(AK12:AP12)</f>
        <v>-8.2876730885554419</v>
      </c>
      <c r="AR12" s="14">
        <f>STDEV(AK12:AP12)</f>
        <v>6.880149971407723E-2</v>
      </c>
      <c r="AS12" s="13">
        <f t="shared" si="6"/>
        <v>-13.986317254097379</v>
      </c>
      <c r="AT12" s="13">
        <f t="shared" si="7"/>
        <v>-14.293772756105049</v>
      </c>
      <c r="AU12" s="13">
        <f t="shared" si="8"/>
        <v>-14.866468810200658</v>
      </c>
      <c r="AV12" s="13"/>
      <c r="AW12" s="13"/>
      <c r="AX12" s="13"/>
      <c r="AY12" s="15">
        <f>AVERAGE(AS12:AX12)</f>
        <v>-14.382186273467696</v>
      </c>
      <c r="AZ12" s="15">
        <f>STDEV(AS12:AX12)</f>
        <v>0.44668714215553812</v>
      </c>
    </row>
    <row r="13" spans="1:52" x14ac:dyDescent="0.15">
      <c r="A13" s="1" t="s">
        <v>12</v>
      </c>
      <c r="B13" s="1" t="s">
        <v>53</v>
      </c>
      <c r="C13" s="1" t="s">
        <v>111</v>
      </c>
      <c r="D13" s="1" t="s">
        <v>127</v>
      </c>
      <c r="E13" s="10">
        <v>315.03890200508698</v>
      </c>
      <c r="F13" s="1">
        <v>314.91087293001698</v>
      </c>
      <c r="G13" s="10">
        <v>314.49825111911503</v>
      </c>
      <c r="H13" s="10">
        <v>314.53801271840001</v>
      </c>
      <c r="I13" s="10">
        <v>314.30811137684901</v>
      </c>
      <c r="J13" s="10">
        <v>314.82954661575098</v>
      </c>
      <c r="K13" s="11">
        <f t="shared" si="9"/>
        <v>314.68728279420316</v>
      </c>
      <c r="L13" s="11">
        <f t="shared" si="10"/>
        <v>0.28130165540659424</v>
      </c>
      <c r="M13" s="1">
        <v>-65.493130764111299</v>
      </c>
      <c r="N13" s="1">
        <v>-69.931289671588402</v>
      </c>
      <c r="O13" s="1">
        <v>-65.939581319895694</v>
      </c>
      <c r="P13" s="1">
        <v>-69.111692985985698</v>
      </c>
      <c r="Q13" s="1">
        <v>-65.496838775083503</v>
      </c>
      <c r="R13" s="1">
        <v>-66.082287210131199</v>
      </c>
      <c r="S13" s="11">
        <f t="shared" si="11"/>
        <v>-67.009136787799306</v>
      </c>
      <c r="T13" s="11">
        <f t="shared" si="12"/>
        <v>1.9772727998148101</v>
      </c>
      <c r="U13" s="1">
        <v>-0.181242010170899</v>
      </c>
      <c r="V13" s="1">
        <v>-0.195419909796159</v>
      </c>
      <c r="W13" s="1">
        <v>-0.18301895468603499</v>
      </c>
      <c r="X13" s="1">
        <v>-0.19307743691655799</v>
      </c>
      <c r="Y13" s="1">
        <v>-0.181737165586522</v>
      </c>
      <c r="Z13" s="1">
        <v>-0.183251602793256</v>
      </c>
      <c r="AA13" s="11">
        <f t="shared" si="13"/>
        <v>-0.18629117999157149</v>
      </c>
      <c r="AB13" s="11">
        <f t="shared" si="14"/>
        <v>6.2540649496338387E-3</v>
      </c>
      <c r="AC13" s="3">
        <f t="shared" si="0"/>
        <v>-11.455825431657765</v>
      </c>
      <c r="AD13" s="3">
        <f t="shared" si="1"/>
        <v>-11.666843565863601</v>
      </c>
      <c r="AE13" s="3">
        <f t="shared" si="2"/>
        <v>-11.372479980254369</v>
      </c>
      <c r="AF13" s="3">
        <f>P13-298.15*X13</f>
        <v>-11.545655169313939</v>
      </c>
      <c r="AG13" s="3">
        <f>Q13-298.15*Y13</f>
        <v>-11.311902855461973</v>
      </c>
      <c r="AH13" s="3">
        <f>R13-298.15*Z13</f>
        <v>-11.445821837321922</v>
      </c>
      <c r="AI13" s="12">
        <f t="shared" si="15"/>
        <v>-11.466421473312261</v>
      </c>
      <c r="AJ13" s="12">
        <f t="shared" si="16"/>
        <v>0.12624153218868342</v>
      </c>
      <c r="AK13" s="13">
        <f t="shared" si="3"/>
        <v>-9.2809213096069811</v>
      </c>
      <c r="AL13" s="13">
        <f t="shared" si="4"/>
        <v>-9.3218046483096941</v>
      </c>
      <c r="AM13" s="13">
        <f t="shared" si="5"/>
        <v>-9.1762525240219475</v>
      </c>
      <c r="AN13" s="13">
        <f>P13-310.15*X13</f>
        <v>-9.2287259263152421</v>
      </c>
      <c r="AO13" s="13">
        <f>Q13-310.15*Y13</f>
        <v>-9.1310568684237055</v>
      </c>
      <c r="AP13" s="13">
        <f>R13-310.15*Z13</f>
        <v>-9.2468026038028555</v>
      </c>
      <c r="AQ13" s="14">
        <f t="shared" si="17"/>
        <v>-9.2309273134134049</v>
      </c>
      <c r="AR13" s="14">
        <f t="shared" si="18"/>
        <v>6.9250846898506274E-2</v>
      </c>
      <c r="AS13" s="13">
        <f t="shared" si="6"/>
        <v>-15.805633675759346</v>
      </c>
      <c r="AT13" s="13">
        <f t="shared" si="7"/>
        <v>-16.356921400971416</v>
      </c>
      <c r="AU13" s="13">
        <f t="shared" si="8"/>
        <v>-15.764934892719204</v>
      </c>
      <c r="AV13" s="13">
        <f>P13-274.15*X13</f>
        <v>-16.179513655311332</v>
      </c>
      <c r="AW13" s="13">
        <f>Q13-274.15*Y13</f>
        <v>-15.673594829538501</v>
      </c>
      <c r="AX13" s="13">
        <f>R13-274.15*Z13</f>
        <v>-15.843860304360071</v>
      </c>
      <c r="AY13" s="15">
        <f t="shared" si="19"/>
        <v>-15.937409793109978</v>
      </c>
      <c r="AZ13" s="15">
        <f t="shared" si="20"/>
        <v>0.26835299418553349</v>
      </c>
    </row>
    <row r="14" spans="1:52" x14ac:dyDescent="0.15">
      <c r="A14" s="1" t="s">
        <v>13</v>
      </c>
      <c r="B14" s="1" t="s">
        <v>54</v>
      </c>
      <c r="C14" s="1" t="s">
        <v>112</v>
      </c>
      <c r="D14" s="1" t="s">
        <v>128</v>
      </c>
      <c r="E14" s="10">
        <v>317.701973948236</v>
      </c>
      <c r="F14" s="10">
        <v>318.04015012993602</v>
      </c>
      <c r="G14" s="10">
        <v>317.62903991248299</v>
      </c>
      <c r="K14" s="11">
        <f t="shared" si="9"/>
        <v>317.79038799688504</v>
      </c>
      <c r="L14" s="11">
        <f t="shared" si="10"/>
        <v>0.21935287944873336</v>
      </c>
      <c r="M14" s="1">
        <v>-67.8597993033801</v>
      </c>
      <c r="N14" s="1">
        <v>-71.939136073329905</v>
      </c>
      <c r="O14" s="1">
        <v>-70.534673128035806</v>
      </c>
      <c r="P14" s="11"/>
      <c r="Q14" s="11"/>
      <c r="R14" s="11"/>
      <c r="S14" s="11">
        <f t="shared" si="11"/>
        <v>-70.111202834915275</v>
      </c>
      <c r="T14" s="11">
        <f t="shared" si="12"/>
        <v>2.0723760367107174</v>
      </c>
      <c r="U14" s="1">
        <v>-0.18694875817120499</v>
      </c>
      <c r="V14" s="1">
        <v>-0.199548122637419</v>
      </c>
      <c r="W14" s="1">
        <v>-0.19541918086076099</v>
      </c>
      <c r="X14" s="11"/>
      <c r="Y14" s="11"/>
      <c r="Z14" s="11"/>
      <c r="AA14" s="11">
        <f t="shared" si="13"/>
        <v>-0.19397202055646168</v>
      </c>
      <c r="AB14" s="11">
        <f t="shared" si="14"/>
        <v>6.4231379362332617E-3</v>
      </c>
      <c r="AC14" s="3">
        <f t="shared" si="0"/>
        <v>-12.121027054635334</v>
      </c>
      <c r="AD14" s="3">
        <f t="shared" si="1"/>
        <v>-12.443863308983431</v>
      </c>
      <c r="AE14" s="3">
        <f t="shared" si="2"/>
        <v>-12.27044435439992</v>
      </c>
      <c r="AF14" s="11"/>
      <c r="AG14" s="11"/>
      <c r="AH14" s="11"/>
      <c r="AI14" s="12">
        <f t="shared" si="15"/>
        <v>-12.278444906006229</v>
      </c>
      <c r="AJ14" s="12">
        <f t="shared" si="16"/>
        <v>0.16156676143279342</v>
      </c>
      <c r="AK14" s="13">
        <f t="shared" si="3"/>
        <v>-9.8776419565808808</v>
      </c>
      <c r="AL14" s="13">
        <f t="shared" si="4"/>
        <v>-10.049285837334409</v>
      </c>
      <c r="AM14" s="13">
        <f t="shared" si="5"/>
        <v>-9.9254141840707888</v>
      </c>
      <c r="AN14" s="13"/>
      <c r="AO14" s="13"/>
      <c r="AP14" s="13"/>
      <c r="AQ14" s="14">
        <f t="shared" si="17"/>
        <v>-9.9507806593286929</v>
      </c>
      <c r="AR14" s="14">
        <f t="shared" si="18"/>
        <v>8.8588932718992944E-2</v>
      </c>
      <c r="AS14" s="13">
        <f t="shared" si="6"/>
        <v>-16.607797250744255</v>
      </c>
      <c r="AT14" s="13">
        <f t="shared" si="7"/>
        <v>-17.233018252281489</v>
      </c>
      <c r="AU14" s="13">
        <f t="shared" si="8"/>
        <v>-16.960504695058184</v>
      </c>
      <c r="AV14" s="13"/>
      <c r="AW14" s="13"/>
      <c r="AX14" s="13"/>
      <c r="AY14" s="15">
        <f t="shared" si="19"/>
        <v>-16.933773399361311</v>
      </c>
      <c r="AZ14" s="15">
        <f t="shared" si="20"/>
        <v>0.31346650031228351</v>
      </c>
    </row>
    <row r="15" spans="1:52" x14ac:dyDescent="0.15">
      <c r="A15" s="1" t="s">
        <v>14</v>
      </c>
      <c r="B15" s="1" t="s">
        <v>55</v>
      </c>
      <c r="C15" s="1" t="s">
        <v>113</v>
      </c>
      <c r="D15" s="1" t="s">
        <v>130</v>
      </c>
      <c r="E15" s="10">
        <v>321.07763018963698</v>
      </c>
      <c r="F15" s="10">
        <v>320.87892669800999</v>
      </c>
      <c r="G15" s="10">
        <v>321.55318802299303</v>
      </c>
      <c r="H15" s="10">
        <v>321.980770444717</v>
      </c>
      <c r="I15" s="10"/>
      <c r="J15" s="10"/>
      <c r="K15" s="11">
        <f t="shared" si="9"/>
        <v>321.3726288388392</v>
      </c>
      <c r="L15" s="11">
        <f t="shared" si="10"/>
        <v>0.49436957790449287</v>
      </c>
      <c r="M15" s="1">
        <v>-76.421395169042597</v>
      </c>
      <c r="N15" s="1">
        <v>-78.381006968276793</v>
      </c>
      <c r="O15" s="1">
        <v>-74.229136928833796</v>
      </c>
      <c r="P15" s="1">
        <v>-78.842433165551398</v>
      </c>
      <c r="S15" s="11">
        <f t="shared" si="11"/>
        <v>-76.968493057926139</v>
      </c>
      <c r="T15" s="11">
        <f t="shared" si="12"/>
        <v>2.1063582455601169</v>
      </c>
      <c r="U15" s="1">
        <v>-0.21136830415593399</v>
      </c>
      <c r="V15" s="1">
        <v>-0.217622707632039</v>
      </c>
      <c r="W15" s="1">
        <v>-0.204198578037916</v>
      </c>
      <c r="X15" s="1">
        <v>-0.21821988344705601</v>
      </c>
      <c r="AA15" s="11">
        <f t="shared" si="13"/>
        <v>-0.21285236831823626</v>
      </c>
      <c r="AB15" s="11">
        <f t="shared" si="14"/>
        <v>6.5487120484493313E-3</v>
      </c>
      <c r="AC15" s="3">
        <f t="shared" si="0"/>
        <v>-13.401935284950881</v>
      </c>
      <c r="AD15" s="3">
        <f t="shared" si="1"/>
        <v>-13.496796687784368</v>
      </c>
      <c r="AE15" s="3">
        <f t="shared" si="2"/>
        <v>-13.347330886829148</v>
      </c>
      <c r="AF15" s="3">
        <f>P15-298.15*X15</f>
        <v>-13.780174915811656</v>
      </c>
      <c r="AG15" s="3"/>
      <c r="AH15" s="3"/>
      <c r="AI15" s="12">
        <f t="shared" si="15"/>
        <v>-13.506559443844013</v>
      </c>
      <c r="AJ15" s="12">
        <f t="shared" si="16"/>
        <v>0.19257958173102346</v>
      </c>
      <c r="AK15" s="13">
        <f t="shared" si="3"/>
        <v>-10.865515635079674</v>
      </c>
      <c r="AL15" s="13">
        <f t="shared" si="4"/>
        <v>-10.885324196199903</v>
      </c>
      <c r="AM15" s="13">
        <f t="shared" si="5"/>
        <v>-10.896947950374155</v>
      </c>
      <c r="AN15" s="13">
        <f>P15-310.15*X15</f>
        <v>-11.161536314446977</v>
      </c>
      <c r="AO15" s="13"/>
      <c r="AP15" s="13"/>
      <c r="AQ15" s="14">
        <f t="shared" si="17"/>
        <v>-10.952331024025177</v>
      </c>
      <c r="AR15" s="14">
        <f t="shared" si="18"/>
        <v>0.14007255872162452</v>
      </c>
      <c r="AS15" s="13">
        <f t="shared" si="6"/>
        <v>-18.4747745846933</v>
      </c>
      <c r="AT15" s="13">
        <f t="shared" si="7"/>
        <v>-18.719741670953304</v>
      </c>
      <c r="AU15" s="13">
        <f t="shared" si="8"/>
        <v>-18.248096759739134</v>
      </c>
      <c r="AV15" s="13">
        <f>P15-274.15*X15</f>
        <v>-19.017452118541001</v>
      </c>
      <c r="AW15" s="13"/>
      <c r="AX15" s="13"/>
      <c r="AY15" s="15">
        <f t="shared" si="19"/>
        <v>-18.615016283481687</v>
      </c>
      <c r="AZ15" s="15">
        <f t="shared" si="20"/>
        <v>0.33026235990168112</v>
      </c>
    </row>
    <row r="16" spans="1:52" x14ac:dyDescent="0.15">
      <c r="A16" s="1" t="s">
        <v>15</v>
      </c>
      <c r="B16" s="1" t="s">
        <v>56</v>
      </c>
      <c r="C16" s="1" t="s">
        <v>114</v>
      </c>
      <c r="D16" s="1" t="s">
        <v>131</v>
      </c>
      <c r="E16" s="10">
        <v>319.07374058482299</v>
      </c>
      <c r="F16" s="10">
        <v>319.05622133815598</v>
      </c>
      <c r="G16" s="10">
        <v>318.546171277101</v>
      </c>
      <c r="H16" s="10">
        <v>318.93553049699699</v>
      </c>
      <c r="I16" s="10">
        <v>317.931619269073</v>
      </c>
      <c r="J16" s="10"/>
      <c r="K16" s="11">
        <f t="shared" si="9"/>
        <v>318.70865659322999</v>
      </c>
      <c r="L16" s="11">
        <f t="shared" si="10"/>
        <v>0.48367029631093217</v>
      </c>
      <c r="M16" s="1">
        <v>-69.012242463321698</v>
      </c>
      <c r="N16" s="1">
        <v>-77.766782549597593</v>
      </c>
      <c r="O16" s="1">
        <v>-77.164221247074906</v>
      </c>
      <c r="P16" s="1">
        <v>-80.802666792686594</v>
      </c>
      <c r="Q16" s="1">
        <v>-74.082534956836298</v>
      </c>
      <c r="S16" s="11">
        <f t="shared" si="11"/>
        <v>-75.765689601903418</v>
      </c>
      <c r="T16" s="11">
        <f t="shared" si="12"/>
        <v>4.4657995023611408</v>
      </c>
      <c r="U16" s="1">
        <v>-0.18964230355881001</v>
      </c>
      <c r="V16" s="1">
        <v>-0.217093043354747</v>
      </c>
      <c r="W16" s="1">
        <v>-0.21559171728922599</v>
      </c>
      <c r="X16" s="1">
        <v>-0.22670408114406099</v>
      </c>
      <c r="Y16" s="1">
        <v>-0.206367035590103</v>
      </c>
      <c r="AA16" s="11">
        <f t="shared" si="13"/>
        <v>-0.2110796361873894</v>
      </c>
      <c r="AB16" s="11">
        <f t="shared" si="14"/>
        <v>1.3985805808496855E-2</v>
      </c>
      <c r="AC16" s="3">
        <f t="shared" si="0"/>
        <v>-12.470389657262501</v>
      </c>
      <c r="AD16" s="3">
        <f t="shared" si="1"/>
        <v>-13.040491673379776</v>
      </c>
      <c r="AE16" s="3">
        <f t="shared" si="2"/>
        <v>-12.885550737292178</v>
      </c>
      <c r="AF16" s="3">
        <f>P16-298.15*X16</f>
        <v>-13.210844999584822</v>
      </c>
      <c r="AG16" s="3">
        <f>Q16-298.15*Y16</f>
        <v>-12.554203295647092</v>
      </c>
      <c r="AH16" s="3"/>
      <c r="AI16" s="12">
        <f t="shared" si="15"/>
        <v>-12.832296072633273</v>
      </c>
      <c r="AJ16" s="12">
        <f t="shared" si="16"/>
        <v>0.31535400888236154</v>
      </c>
      <c r="AK16" s="13">
        <f t="shared" si="3"/>
        <v>-10.194682014556776</v>
      </c>
      <c r="AL16" s="13">
        <f t="shared" si="4"/>
        <v>-10.43537515312282</v>
      </c>
      <c r="AM16" s="13">
        <f t="shared" si="5"/>
        <v>-10.298450129821475</v>
      </c>
      <c r="AN16" s="13">
        <f>P16-310.15*X16</f>
        <v>-10.490396025856086</v>
      </c>
      <c r="AO16" s="13">
        <f>Q16-310.15*Y16</f>
        <v>-10.077798868565864</v>
      </c>
      <c r="AP16" s="13"/>
      <c r="AQ16" s="14">
        <f t="shared" si="17"/>
        <v>-10.299340438384604</v>
      </c>
      <c r="AR16" s="14">
        <f t="shared" si="18"/>
        <v>0.16958959770811069</v>
      </c>
      <c r="AS16" s="13">
        <f t="shared" si="6"/>
        <v>-17.021804942673938</v>
      </c>
      <c r="AT16" s="13">
        <f t="shared" si="7"/>
        <v>-18.25072471389371</v>
      </c>
      <c r="AU16" s="13">
        <f t="shared" si="8"/>
        <v>-18.059751952233604</v>
      </c>
      <c r="AV16" s="13">
        <f>P16-274.15*X16</f>
        <v>-18.65174294704228</v>
      </c>
      <c r="AW16" s="13">
        <f>Q16-274.15*Y16</f>
        <v>-17.507012149809569</v>
      </c>
      <c r="AX16" s="13"/>
      <c r="AY16" s="15">
        <f t="shared" si="19"/>
        <v>-17.898207341130622</v>
      </c>
      <c r="AZ16" s="15">
        <f t="shared" si="20"/>
        <v>0.64017495862189822</v>
      </c>
    </row>
    <row r="17" spans="1:52" x14ac:dyDescent="0.15">
      <c r="A17" s="1" t="s">
        <v>16</v>
      </c>
      <c r="B17" s="1" t="s">
        <v>57</v>
      </c>
      <c r="C17" s="1" t="s">
        <v>115</v>
      </c>
      <c r="D17" s="1" t="s">
        <v>129</v>
      </c>
      <c r="E17" s="10">
        <v>320.66045854934902</v>
      </c>
      <c r="F17" s="10">
        <v>321.55463731159102</v>
      </c>
      <c r="G17" s="10">
        <v>321.17737410826902</v>
      </c>
      <c r="H17" s="10">
        <v>320.88243158753301</v>
      </c>
      <c r="I17" s="10"/>
      <c r="J17" s="10"/>
      <c r="K17" s="11">
        <f t="shared" si="9"/>
        <v>321.06872538918549</v>
      </c>
      <c r="L17" s="11">
        <f t="shared" si="10"/>
        <v>0.38699790418835112</v>
      </c>
      <c r="M17" s="1">
        <v>-77.756849300034006</v>
      </c>
      <c r="N17" s="1">
        <v>-72.409592198681096</v>
      </c>
      <c r="O17" s="1">
        <v>-75.083393984011195</v>
      </c>
      <c r="P17" s="1">
        <v>-75.388441055303005</v>
      </c>
      <c r="S17" s="11">
        <f t="shared" si="11"/>
        <v>-75.159569134507322</v>
      </c>
      <c r="T17" s="11">
        <f t="shared" si="12"/>
        <v>2.1883344058511964</v>
      </c>
      <c r="U17" s="1">
        <v>-0.21584265493587401</v>
      </c>
      <c r="V17" s="1">
        <v>-0.198538951085382</v>
      </c>
      <c r="W17" s="1">
        <v>-0.207128460768433</v>
      </c>
      <c r="X17" s="1">
        <v>-0.20829398858512299</v>
      </c>
      <c r="AA17" s="11">
        <f t="shared" si="13"/>
        <v>-0.20745101384370301</v>
      </c>
      <c r="AB17" s="11">
        <f t="shared" si="14"/>
        <v>7.0865870894505929E-3</v>
      </c>
      <c r="AC17" s="3">
        <f t="shared" si="0"/>
        <v>-13.403361730903171</v>
      </c>
      <c r="AD17" s="3">
        <f t="shared" si="1"/>
        <v>-13.215203932574461</v>
      </c>
      <c r="AE17" s="3">
        <f t="shared" si="2"/>
        <v>-13.328043405902903</v>
      </c>
      <c r="AF17" s="3">
        <f>P17-298.15*X17</f>
        <v>-13.285588358648589</v>
      </c>
      <c r="AG17" s="3"/>
      <c r="AH17" s="3"/>
      <c r="AI17" s="12">
        <f t="shared" si="15"/>
        <v>-13.308049357007281</v>
      </c>
      <c r="AJ17" s="12">
        <f t="shared" si="16"/>
        <v>7.8759083908440192E-2</v>
      </c>
      <c r="AK17" s="13">
        <f t="shared" si="3"/>
        <v>-10.813249871672681</v>
      </c>
      <c r="AL17" s="13">
        <f t="shared" si="4"/>
        <v>-10.832736519549876</v>
      </c>
      <c r="AM17" s="13">
        <f t="shared" si="5"/>
        <v>-10.842501876681709</v>
      </c>
      <c r="AN17" s="13">
        <f>P17-310.15*X17</f>
        <v>-10.786060495627112</v>
      </c>
      <c r="AO17" s="13"/>
      <c r="AP17" s="13"/>
      <c r="AQ17" s="14">
        <f t="shared" si="17"/>
        <v>-10.818637190882844</v>
      </c>
      <c r="AR17" s="14">
        <f t="shared" si="18"/>
        <v>2.4890283105371065E-2</v>
      </c>
      <c r="AS17" s="13">
        <f t="shared" si="6"/>
        <v>-18.583585449364151</v>
      </c>
      <c r="AT17" s="13">
        <f t="shared" si="7"/>
        <v>-17.980138758623625</v>
      </c>
      <c r="AU17" s="13">
        <f t="shared" si="8"/>
        <v>-18.299126464345292</v>
      </c>
      <c r="AV17" s="13">
        <f>P17-274.15*X17</f>
        <v>-18.284644084691543</v>
      </c>
      <c r="AW17" s="13"/>
      <c r="AX17" s="13"/>
      <c r="AY17" s="15">
        <f t="shared" si="19"/>
        <v>-18.286873689256154</v>
      </c>
      <c r="AZ17" s="15">
        <f t="shared" si="20"/>
        <v>0.24649495457339995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GC</vt:lpstr>
      <vt:lpstr>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Yeongjoon</dc:creator>
  <cp:lastModifiedBy>Pablo Szekely</cp:lastModifiedBy>
  <dcterms:created xsi:type="dcterms:W3CDTF">2025-06-05T22:44:26Z</dcterms:created>
  <dcterms:modified xsi:type="dcterms:W3CDTF">2025-11-01T19:45:09Z</dcterms:modified>
</cp:coreProperties>
</file>