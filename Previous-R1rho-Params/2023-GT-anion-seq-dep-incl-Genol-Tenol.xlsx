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rsula1/OrsDocs/OrsDocs_since_Jan2025/2025-Sequence-dependence/2025-Data-For-Figures/2025-Results-Summary/2025-pAnion-vs-pTautomer/"/>
    </mc:Choice>
  </mc:AlternateContent>
  <xr:revisionPtr revIDLastSave="0" documentId="13_ncr:1_{008A960B-E7F8-3045-80EF-4A514ACDB085}" xr6:coauthVersionLast="47" xr6:coauthVersionMax="47" xr10:uidLastSave="{00000000-0000-0000-0000-000000000000}"/>
  <bookViews>
    <workbookView xWindow="20" yWindow="760" windowWidth="30240" windowHeight="17640" activeTab="7" xr2:uid="{015F52ED-CFBE-B24F-9A79-BCC77DE160EC}"/>
  </bookViews>
  <sheets>
    <sheet name="10C_7p4" sheetId="1" r:id="rId1"/>
    <sheet name="25C_7p4" sheetId="2" r:id="rId2"/>
    <sheet name="10C_all_pHs" sheetId="3" r:id="rId3"/>
    <sheet name="25C_all_pHs" sheetId="4" r:id="rId4"/>
    <sheet name="10C_6p9_all" sheetId="6" r:id="rId5"/>
    <sheet name="25C_6p9_all" sheetId="5" r:id="rId6"/>
    <sheet name="10C_6p9" sheetId="8" r:id="rId7"/>
    <sheet name="25C_6p9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9" l="1"/>
  <c r="F18" i="9" s="1"/>
  <c r="G18" i="9"/>
  <c r="E18" i="9" s="1"/>
  <c r="H17" i="9"/>
  <c r="F17" i="9" s="1"/>
  <c r="G17" i="9"/>
  <c r="E17" i="9"/>
  <c r="H16" i="9"/>
  <c r="F16" i="9" s="1"/>
  <c r="G16" i="9"/>
  <c r="E16" i="9" s="1"/>
  <c r="H15" i="9"/>
  <c r="F15" i="9" s="1"/>
  <c r="G15" i="9"/>
  <c r="E15" i="9" s="1"/>
  <c r="H14" i="9"/>
  <c r="G14" i="9"/>
  <c r="F14" i="9"/>
  <c r="E14" i="9"/>
  <c r="F18" i="5"/>
  <c r="F19" i="5"/>
  <c r="F20" i="5"/>
  <c r="F21" i="5"/>
  <c r="F17" i="5"/>
  <c r="E18" i="5"/>
  <c r="E19" i="5"/>
  <c r="E20" i="5"/>
  <c r="E21" i="5"/>
  <c r="E17" i="5"/>
  <c r="H21" i="5"/>
  <c r="H20" i="5"/>
  <c r="H19" i="5"/>
  <c r="H18" i="5"/>
  <c r="H17" i="5"/>
  <c r="G21" i="5"/>
  <c r="G20" i="5"/>
  <c r="G19" i="5"/>
  <c r="G18" i="5"/>
  <c r="G17" i="5"/>
</calcChain>
</file>

<file path=xl/sharedStrings.xml><?xml version="1.0" encoding="utf-8"?>
<sst xmlns="http://schemas.openxmlformats.org/spreadsheetml/2006/main" count="550" uniqueCount="89">
  <si>
    <t>1</t>
  </si>
  <si>
    <t>5</t>
  </si>
  <si>
    <t>7</t>
  </si>
  <si>
    <t>8</t>
  </si>
  <si>
    <t>9</t>
  </si>
  <si>
    <t>10</t>
  </si>
  <si>
    <t>13</t>
  </si>
  <si>
    <t>16</t>
  </si>
  <si>
    <t>17</t>
  </si>
  <si>
    <t>18</t>
  </si>
  <si>
    <t>22</t>
  </si>
  <si>
    <t>28</t>
  </si>
  <si>
    <t>31</t>
  </si>
  <si>
    <t>4</t>
  </si>
  <si>
    <t>Construct</t>
  </si>
  <si>
    <t>hpTG-CGC</t>
  </si>
  <si>
    <t>hpTG-GGG</t>
  </si>
  <si>
    <t>hpTG-GGC</t>
  </si>
  <si>
    <t>hpTG-TGA</t>
  </si>
  <si>
    <t>DickersonTG-CGA</t>
  </si>
  <si>
    <t>hpUG-CGC</t>
  </si>
  <si>
    <t>A20G TAR-CGG</t>
  </si>
  <si>
    <t>RRE-CGC</t>
  </si>
  <si>
    <t>5BrdU5-hpTG-CGC</t>
  </si>
  <si>
    <t>cmo5U5-hpUG-CGC</t>
  </si>
  <si>
    <t>0</t>
  </si>
  <si>
    <t>3</t>
  </si>
  <si>
    <t>6</t>
  </si>
  <si>
    <t>12</t>
  </si>
  <si>
    <t>15</t>
  </si>
  <si>
    <t>20</t>
  </si>
  <si>
    <t>24</t>
  </si>
  <si>
    <t>26</t>
  </si>
  <si>
    <t>30</t>
  </si>
  <si>
    <t>hpUG-UGC</t>
  </si>
  <si>
    <t>orig_pH</t>
  </si>
  <si>
    <t>dGrU-GGA</t>
  </si>
  <si>
    <t>dTrG-UGC</t>
  </si>
  <si>
    <t>NA_id</t>
  </si>
  <si>
    <t>DNA</t>
  </si>
  <si>
    <t>19</t>
  </si>
  <si>
    <t>RNA</t>
  </si>
  <si>
    <t>tp5abc-AGG</t>
  </si>
  <si>
    <t>2</t>
  </si>
  <si>
    <t>11</t>
  </si>
  <si>
    <t>14</t>
  </si>
  <si>
    <t>21</t>
  </si>
  <si>
    <t>23</t>
  </si>
  <si>
    <t>25</t>
  </si>
  <si>
    <t>glnA-GGC</t>
  </si>
  <si>
    <t>27</t>
  </si>
  <si>
    <t>xptG-GGU</t>
  </si>
  <si>
    <t>29</t>
  </si>
  <si>
    <t>xptG-GGC</t>
  </si>
  <si>
    <t>pGS_Wobble</t>
  </si>
  <si>
    <t>pGS_Wobble_Error</t>
  </si>
  <si>
    <t>pES1_Tautomer</t>
  </si>
  <si>
    <t>pES2_Anion</t>
  </si>
  <si>
    <t>pES2_Anion_ Error</t>
  </si>
  <si>
    <t>kES1</t>
  </si>
  <si>
    <t>kES1_Error</t>
  </si>
  <si>
    <t>kES2</t>
  </si>
  <si>
    <t>kES2_Error</t>
  </si>
  <si>
    <t>kMinor</t>
  </si>
  <si>
    <t>kMinor_Error</t>
  </si>
  <si>
    <t>Hybrid</t>
  </si>
  <si>
    <t>mod</t>
  </si>
  <si>
    <t>kES1toGS</t>
  </si>
  <si>
    <t>kGStoES2</t>
  </si>
  <si>
    <t>kES2toGS</t>
  </si>
  <si>
    <t>kES1toES2</t>
  </si>
  <si>
    <t>kES2toES1</t>
  </si>
  <si>
    <t>kGStoES1</t>
  </si>
  <si>
    <t>kGStoES1_Error</t>
  </si>
  <si>
    <t>kES1toGS_Error</t>
  </si>
  <si>
    <t>kGStoES2_Error</t>
  </si>
  <si>
    <t>kES2toGS_Error</t>
  </si>
  <si>
    <t>kES1toES2_Error</t>
  </si>
  <si>
    <t>kES2toES1_Error</t>
  </si>
  <si>
    <t>pES1_Tautomer_Error</t>
  </si>
  <si>
    <t>Genol</t>
  </si>
  <si>
    <t>Genol_err</t>
  </si>
  <si>
    <t>Tenol</t>
  </si>
  <si>
    <t>Tenol_err</t>
  </si>
  <si>
    <t>TGC</t>
  </si>
  <si>
    <t>GGT</t>
  </si>
  <si>
    <t>CGG</t>
  </si>
  <si>
    <t>AGA</t>
  </si>
  <si>
    <t>CGT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</si>
</sst>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1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2" fontId="2" fillId="0" borderId="1" xfId="0" applyNumberFormat="1" applyFont="1" applyBorder="1" applyAlignment="1">
      <alignment horizontal="center" vertical="top"/>
    </xf>
    <xf numFmtId="0" fontId="3" fillId="0" borderId="1" xfId="0" applyFont="1" applyBorder="1"/>
    <xf numFmtId="2" fontId="0" fillId="2" borderId="1" xfId="0" applyNumberForma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FC9C9-A49B-634C-8DDA-5F4ABF1C06C9}">
  <dimension ref="A1:AF17"/>
  <sheetViews>
    <sheetView topLeftCell="T1" workbookViewId="0">
      <selection activeCell="AC9" sqref="AC9"/>
    </sheetView>
  </sheetViews>
  <sheetFormatPr baseColWidth="10" defaultRowHeight="16" x14ac:dyDescent="0.2"/>
  <cols>
    <col min="2" max="2" width="17.5" bestFit="1" customWidth="1"/>
    <col min="3" max="4" width="17.5" customWidth="1"/>
  </cols>
  <sheetData>
    <row r="1" spans="1:32" x14ac:dyDescent="0.2">
      <c r="A1" s="4"/>
      <c r="B1" s="2" t="s">
        <v>14</v>
      </c>
      <c r="C1" s="2" t="s">
        <v>38</v>
      </c>
      <c r="D1" s="2" t="s">
        <v>35</v>
      </c>
      <c r="E1" s="1" t="s">
        <v>54</v>
      </c>
      <c r="F1" s="1" t="s">
        <v>55</v>
      </c>
      <c r="G1" s="1" t="s">
        <v>56</v>
      </c>
      <c r="H1" s="1" t="s">
        <v>79</v>
      </c>
      <c r="I1" s="1" t="s">
        <v>57</v>
      </c>
      <c r="J1" s="1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72</v>
      </c>
      <c r="R1" s="3" t="s">
        <v>73</v>
      </c>
      <c r="S1" s="3" t="s">
        <v>67</v>
      </c>
      <c r="T1" s="3" t="s">
        <v>74</v>
      </c>
      <c r="U1" s="3" t="s">
        <v>68</v>
      </c>
      <c r="V1" s="8" t="s">
        <v>75</v>
      </c>
      <c r="W1" s="3" t="s">
        <v>69</v>
      </c>
      <c r="X1" s="3" t="s">
        <v>76</v>
      </c>
      <c r="Y1" s="3" t="s">
        <v>70</v>
      </c>
      <c r="Z1" s="8" t="s">
        <v>77</v>
      </c>
      <c r="AA1" s="3" t="s">
        <v>71</v>
      </c>
      <c r="AB1" s="3" t="s">
        <v>78</v>
      </c>
      <c r="AC1" s="3" t="s">
        <v>80</v>
      </c>
      <c r="AD1" s="3" t="s">
        <v>81</v>
      </c>
      <c r="AE1" s="3" t="s">
        <v>82</v>
      </c>
      <c r="AF1" s="3" t="s">
        <v>83</v>
      </c>
    </row>
    <row r="2" spans="1:32" x14ac:dyDescent="0.2">
      <c r="A2" s="2" t="s">
        <v>0</v>
      </c>
      <c r="B2" s="4" t="s">
        <v>15</v>
      </c>
      <c r="C2" s="4" t="s">
        <v>39</v>
      </c>
      <c r="D2" s="4">
        <v>8.4</v>
      </c>
      <c r="E2" s="4">
        <v>0.999494392210451</v>
      </c>
      <c r="F2" s="4">
        <v>1.20374437723978E-4</v>
      </c>
      <c r="G2" s="4">
        <v>4.8800100000000001E-4</v>
      </c>
      <c r="H2" s="4">
        <v>1.20369E-4</v>
      </c>
      <c r="I2" s="5">
        <v>1.7606789549309E-5</v>
      </c>
      <c r="J2" s="5">
        <v>1.1441574908886499E-6</v>
      </c>
      <c r="K2" s="6">
        <v>649.63486573900002</v>
      </c>
      <c r="L2" s="4">
        <v>323.32732250049003</v>
      </c>
      <c r="M2" s="6">
        <v>11082.087879246599</v>
      </c>
      <c r="N2" s="4">
        <v>1565.4999799751499</v>
      </c>
      <c r="O2" s="6">
        <v>73733.231582281107</v>
      </c>
      <c r="P2" s="4">
        <v>21135.451308162901</v>
      </c>
      <c r="Q2" s="4">
        <v>0.31707843899999999</v>
      </c>
      <c r="R2" s="4">
        <v>0.17618097999999999</v>
      </c>
      <c r="S2" s="4">
        <v>649.31778729999996</v>
      </c>
      <c r="T2" s="4">
        <v>323.32727449999999</v>
      </c>
      <c r="U2" s="4">
        <v>0.10946924655752401</v>
      </c>
      <c r="V2" s="4">
        <v>0.158019583388045</v>
      </c>
      <c r="W2" s="4">
        <v>11081.97841</v>
      </c>
      <c r="X2" s="4">
        <v>1565.4999720000001</v>
      </c>
      <c r="Y2" s="4">
        <v>981.99594606100504</v>
      </c>
      <c r="Z2" s="4">
        <v>335.90686945113902</v>
      </c>
      <c r="AA2" s="4">
        <v>72751.235636220095</v>
      </c>
      <c r="AB2" s="4">
        <v>21132.781846571499</v>
      </c>
      <c r="AC2" s="6">
        <v>0.693783382</v>
      </c>
      <c r="AD2" s="6">
        <v>5.9334233E-2</v>
      </c>
      <c r="AE2" s="6">
        <v>0.306216618</v>
      </c>
      <c r="AF2" s="6">
        <v>5.9334233E-2</v>
      </c>
    </row>
    <row r="3" spans="1:32" x14ac:dyDescent="0.2">
      <c r="A3" s="2" t="s">
        <v>1</v>
      </c>
      <c r="B3" s="4" t="s">
        <v>15</v>
      </c>
      <c r="C3" s="4" t="s">
        <v>39</v>
      </c>
      <c r="D3" s="4">
        <v>8.8000000000000007</v>
      </c>
      <c r="E3" s="4">
        <v>0.99888282523391703</v>
      </c>
      <c r="F3" s="4">
        <v>1.8705106559322999E-4</v>
      </c>
      <c r="G3" s="4">
        <v>1.0863610000000001E-3</v>
      </c>
      <c r="H3" s="4">
        <v>1.8702599999999999E-4</v>
      </c>
      <c r="I3" s="5">
        <v>3.0813766083231199E-5</v>
      </c>
      <c r="J3" s="5">
        <v>3.0621011679416401E-6</v>
      </c>
      <c r="K3" s="6">
        <v>1113.4502290150001</v>
      </c>
      <c r="L3" s="4">
        <v>218.92459704676401</v>
      </c>
      <c r="M3" s="6">
        <v>10031.1270258773</v>
      </c>
      <c r="N3" s="4">
        <v>255.71805437719701</v>
      </c>
      <c r="O3" s="6">
        <v>0</v>
      </c>
      <c r="P3" s="4">
        <v>0</v>
      </c>
      <c r="Q3" s="4">
        <v>1.2105450149999999</v>
      </c>
      <c r="R3" s="4">
        <v>0.31640598800000003</v>
      </c>
      <c r="S3" s="4">
        <v>1112.2396839999999</v>
      </c>
      <c r="T3" s="4">
        <v>218.92436839999999</v>
      </c>
      <c r="U3" s="4">
        <v>0.13767587733777301</v>
      </c>
      <c r="V3" s="4">
        <v>0.20275057159670901</v>
      </c>
      <c r="W3" s="4">
        <v>10030.98935</v>
      </c>
      <c r="X3" s="4">
        <v>255.717974</v>
      </c>
      <c r="Y3" s="4">
        <v>0</v>
      </c>
      <c r="Z3" s="4">
        <v>0</v>
      </c>
      <c r="AA3" s="4">
        <v>0</v>
      </c>
      <c r="AB3" s="4">
        <v>0</v>
      </c>
      <c r="AC3" s="6">
        <v>0.66726993700000004</v>
      </c>
      <c r="AD3" s="6">
        <v>5.6979546999999998E-2</v>
      </c>
      <c r="AE3" s="6">
        <v>0.33273006300000002</v>
      </c>
      <c r="AF3" s="6">
        <v>5.6979546999999998E-2</v>
      </c>
    </row>
    <row r="4" spans="1:32" x14ac:dyDescent="0.2">
      <c r="A4" s="2" t="s">
        <v>2</v>
      </c>
      <c r="B4" s="4" t="s">
        <v>15</v>
      </c>
      <c r="C4" s="4" t="s">
        <v>39</v>
      </c>
      <c r="D4" s="4">
        <v>9.1</v>
      </c>
      <c r="E4" s="4">
        <v>0.99922789028716696</v>
      </c>
      <c r="F4" s="5">
        <v>7.91741960409567E-5</v>
      </c>
      <c r="G4" s="4">
        <v>7.4418900000000003E-4</v>
      </c>
      <c r="H4" s="5">
        <v>7.9165299999999999E-5</v>
      </c>
      <c r="I4" s="5">
        <v>2.7920712833430901E-5</v>
      </c>
      <c r="J4" s="5">
        <v>1.1868422986418701E-6</v>
      </c>
      <c r="K4" s="6">
        <v>1503.4222411190001</v>
      </c>
      <c r="L4" s="4">
        <v>190.25801278615299</v>
      </c>
      <c r="M4" s="6">
        <v>9974.6984043497305</v>
      </c>
      <c r="N4" s="4">
        <v>139.46121421320601</v>
      </c>
      <c r="O4" s="6">
        <v>0</v>
      </c>
      <c r="P4" s="4">
        <v>0</v>
      </c>
      <c r="Q4" s="4">
        <v>1.120396119</v>
      </c>
      <c r="R4" s="4">
        <v>0.185249206</v>
      </c>
      <c r="S4" s="4">
        <v>1502.301845</v>
      </c>
      <c r="T4" s="4">
        <v>190.2579226</v>
      </c>
      <c r="U4" s="4">
        <v>0.10424934973283601</v>
      </c>
      <c r="V4" s="4">
        <v>0.15659168901416501</v>
      </c>
      <c r="W4" s="4">
        <v>9974.5941550000007</v>
      </c>
      <c r="X4" s="4">
        <v>139.46112629999999</v>
      </c>
      <c r="Y4" s="4">
        <v>0</v>
      </c>
      <c r="Z4" s="4">
        <v>0</v>
      </c>
      <c r="AA4" s="4">
        <v>0</v>
      </c>
      <c r="AB4" s="4">
        <v>0</v>
      </c>
      <c r="AC4" s="6">
        <v>0.653889477</v>
      </c>
      <c r="AD4" s="6">
        <v>5.663588E-2</v>
      </c>
      <c r="AE4" s="6">
        <v>0.346110523</v>
      </c>
      <c r="AF4" s="6">
        <v>5.663588E-2</v>
      </c>
    </row>
    <row r="5" spans="1:32" x14ac:dyDescent="0.2">
      <c r="A5" s="2" t="s">
        <v>3</v>
      </c>
      <c r="B5" s="4" t="s">
        <v>15</v>
      </c>
      <c r="C5" s="4" t="s">
        <v>39</v>
      </c>
      <c r="D5" s="4">
        <v>9.3000000000000007</v>
      </c>
      <c r="E5" s="4">
        <v>0.99926359761916705</v>
      </c>
      <c r="F5" s="4">
        <v>1.11269804302517E-4</v>
      </c>
      <c r="G5" s="4">
        <v>6.9996700000000002E-4</v>
      </c>
      <c r="H5" s="4">
        <v>1.11248E-4</v>
      </c>
      <c r="I5" s="5">
        <v>3.6435380832879398E-5</v>
      </c>
      <c r="J5" s="5">
        <v>2.2026905185083E-6</v>
      </c>
      <c r="K5" s="6">
        <v>1523.4666137429999</v>
      </c>
      <c r="L5" s="4">
        <v>282.06859803917598</v>
      </c>
      <c r="M5" s="6">
        <v>9778.7525345589402</v>
      </c>
      <c r="N5" s="4">
        <v>133.54398440059299</v>
      </c>
      <c r="O5" s="6">
        <v>0</v>
      </c>
      <c r="P5" s="4">
        <v>0</v>
      </c>
      <c r="Q5" s="4">
        <v>1.0694627430000001</v>
      </c>
      <c r="R5" s="4">
        <v>0.26098552800000002</v>
      </c>
      <c r="S5" s="4">
        <v>1522.3971509999999</v>
      </c>
      <c r="T5" s="4">
        <v>282.06847729999998</v>
      </c>
      <c r="U5" s="4">
        <v>0.118793558939394</v>
      </c>
      <c r="V5" s="4">
        <v>0.18080849209941699</v>
      </c>
      <c r="W5" s="4">
        <v>9778.6337409999996</v>
      </c>
      <c r="X5" s="4">
        <v>133.54386199999999</v>
      </c>
      <c r="Y5" s="4">
        <v>0</v>
      </c>
      <c r="Z5" s="4">
        <v>0</v>
      </c>
      <c r="AA5" s="4">
        <v>0</v>
      </c>
      <c r="AB5" s="4">
        <v>0</v>
      </c>
      <c r="AC5" s="6">
        <v>0.67296448799999997</v>
      </c>
      <c r="AD5" s="6">
        <v>5.7472729E-2</v>
      </c>
      <c r="AE5" s="6">
        <v>0.32703551199999997</v>
      </c>
      <c r="AF5" s="6">
        <v>5.7472729E-2</v>
      </c>
    </row>
    <row r="6" spans="1:32" x14ac:dyDescent="0.2">
      <c r="A6" s="2" t="s">
        <v>4</v>
      </c>
      <c r="B6" s="4" t="s">
        <v>16</v>
      </c>
      <c r="C6" s="4" t="s">
        <v>39</v>
      </c>
      <c r="D6" s="4">
        <v>8</v>
      </c>
      <c r="E6" s="4">
        <v>0.99706235153396405</v>
      </c>
      <c r="F6" s="4">
        <v>3.4418885820943997E-4</v>
      </c>
      <c r="G6" s="4">
        <v>2.3676050000000001E-3</v>
      </c>
      <c r="H6" s="4">
        <v>1.0624300000000001E-4</v>
      </c>
      <c r="I6" s="4">
        <v>5.7004346603611096E-4</v>
      </c>
      <c r="J6" s="4">
        <v>3.2738111592839098E-4</v>
      </c>
      <c r="K6" s="6">
        <v>1305.789206571</v>
      </c>
      <c r="L6" s="4">
        <v>67.993020757930196</v>
      </c>
      <c r="M6" s="6">
        <v>54301.595830038299</v>
      </c>
      <c r="N6" s="4">
        <v>7777.0013902730298</v>
      </c>
      <c r="O6" s="6">
        <v>0</v>
      </c>
      <c r="P6" s="4">
        <v>0</v>
      </c>
      <c r="Q6" s="4">
        <v>3.0986125709999999</v>
      </c>
      <c r="R6" s="4">
        <v>0.21308211199999999</v>
      </c>
      <c r="S6" s="4">
        <v>1302.6905939999999</v>
      </c>
      <c r="T6" s="4">
        <v>67.99268687</v>
      </c>
      <c r="U6" s="4">
        <v>21.9325400382615</v>
      </c>
      <c r="V6" s="4">
        <v>31.637498200922298</v>
      </c>
      <c r="W6" s="4">
        <v>54279.663289999997</v>
      </c>
      <c r="X6" s="4">
        <v>7776.937038</v>
      </c>
      <c r="Y6" s="4">
        <v>0</v>
      </c>
      <c r="Z6" s="4">
        <v>0</v>
      </c>
      <c r="AA6" s="4">
        <v>0</v>
      </c>
      <c r="AB6" s="4">
        <v>0</v>
      </c>
      <c r="AC6" s="6">
        <v>0.83676968699999998</v>
      </c>
      <c r="AD6" s="6">
        <v>6.4547739000000007E-2</v>
      </c>
      <c r="AE6" s="6">
        <v>0.16323031299999999</v>
      </c>
      <c r="AF6" s="6">
        <v>6.4547739000000007E-2</v>
      </c>
    </row>
    <row r="7" spans="1:32" x14ac:dyDescent="0.2">
      <c r="A7" s="2" t="s">
        <v>5</v>
      </c>
      <c r="B7" s="4" t="s">
        <v>17</v>
      </c>
      <c r="C7" s="4" t="s">
        <v>39</v>
      </c>
      <c r="D7" s="4">
        <v>8</v>
      </c>
      <c r="E7" s="4">
        <v>0.99911961369991498</v>
      </c>
      <c r="F7" s="5">
        <v>1.92360655624584E-5</v>
      </c>
      <c r="G7" s="4">
        <v>6.8831299999999997E-4</v>
      </c>
      <c r="H7" s="5">
        <v>1.7345799999999999E-5</v>
      </c>
      <c r="I7" s="4">
        <v>1.9207330008538901E-4</v>
      </c>
      <c r="J7" s="5">
        <v>8.3156142697456605E-6</v>
      </c>
      <c r="K7" s="6">
        <v>2511.444086384</v>
      </c>
      <c r="L7" s="4">
        <v>116.12507776096901</v>
      </c>
      <c r="M7" s="6">
        <v>1479.2898073461599</v>
      </c>
      <c r="N7" s="4">
        <v>149.18561931731301</v>
      </c>
      <c r="O7" s="6">
        <v>5288.7480553278701</v>
      </c>
      <c r="P7" s="4">
        <v>421.27700203320899</v>
      </c>
      <c r="Q7" s="4">
        <v>1.729981384</v>
      </c>
      <c r="R7" s="4">
        <v>9.1134457000000002E-2</v>
      </c>
      <c r="S7" s="4">
        <v>2509.714105</v>
      </c>
      <c r="T7" s="4">
        <v>116.12504199999999</v>
      </c>
      <c r="U7" s="4">
        <v>0.20095934615511099</v>
      </c>
      <c r="V7" s="4">
        <v>0.28157118659897001</v>
      </c>
      <c r="W7" s="4">
        <v>1479.0888480000001</v>
      </c>
      <c r="X7" s="4">
        <v>149.18535360000001</v>
      </c>
      <c r="Y7" s="4">
        <v>708.25738735129096</v>
      </c>
      <c r="Z7" s="4">
        <v>63.153035720122801</v>
      </c>
      <c r="AA7" s="4">
        <v>4580.49066797657</v>
      </c>
      <c r="AB7" s="4">
        <v>416.51651410408903</v>
      </c>
      <c r="AC7" s="6">
        <v>0.71497185900000004</v>
      </c>
      <c r="AD7" s="6">
        <v>5.8616456999999997E-2</v>
      </c>
      <c r="AE7" s="6">
        <v>0.28502814100000001</v>
      </c>
      <c r="AF7" s="6">
        <v>5.8616456999999997E-2</v>
      </c>
    </row>
    <row r="8" spans="1:32" x14ac:dyDescent="0.2">
      <c r="A8" s="2" t="s">
        <v>6</v>
      </c>
      <c r="B8" s="4" t="s">
        <v>17</v>
      </c>
      <c r="C8" s="4" t="s">
        <v>39</v>
      </c>
      <c r="D8" s="4">
        <v>8.4</v>
      </c>
      <c r="E8" s="4">
        <v>0.99919615242927695</v>
      </c>
      <c r="F8" s="5">
        <v>2.5448289172828601E-5</v>
      </c>
      <c r="G8" s="4">
        <v>5.6844600000000001E-4</v>
      </c>
      <c r="H8" s="5">
        <v>1.2803600000000001E-5</v>
      </c>
      <c r="I8" s="4">
        <v>2.3540157072326099E-4</v>
      </c>
      <c r="J8" s="5">
        <v>2.19927999323393E-5</v>
      </c>
      <c r="K8" s="6">
        <v>2674.0631737650001</v>
      </c>
      <c r="L8" s="4">
        <v>158.00372050033701</v>
      </c>
      <c r="M8" s="6">
        <v>1458.2523521307</v>
      </c>
      <c r="N8" s="4">
        <v>89.191196189815997</v>
      </c>
      <c r="O8" s="6">
        <v>5288.7476999385699</v>
      </c>
      <c r="P8" s="4">
        <v>361.93188499259298</v>
      </c>
      <c r="Q8" s="4">
        <v>1.5236387650000001</v>
      </c>
      <c r="R8" s="4">
        <v>9.6388403999999997E-2</v>
      </c>
      <c r="S8" s="4">
        <v>2672.5395349999999</v>
      </c>
      <c r="T8" s="4">
        <v>158.0036911</v>
      </c>
      <c r="U8" s="4">
        <v>0.192623130697017</v>
      </c>
      <c r="V8" s="4">
        <v>0.27657820703410502</v>
      </c>
      <c r="W8" s="4">
        <v>1458.0597290000001</v>
      </c>
      <c r="X8" s="4">
        <v>89.190767359999995</v>
      </c>
      <c r="Y8" s="4">
        <v>708.25739593957496</v>
      </c>
      <c r="Z8" s="4">
        <v>45.5000641141934</v>
      </c>
      <c r="AA8" s="4">
        <v>4580.4903039990004</v>
      </c>
      <c r="AB8" s="4">
        <v>359.060487299697</v>
      </c>
      <c r="AC8" s="6">
        <v>0.71101163700000003</v>
      </c>
      <c r="AD8" s="6">
        <v>5.8573354000000001E-2</v>
      </c>
      <c r="AE8" s="6">
        <v>0.28898836300000003</v>
      </c>
      <c r="AF8" s="6">
        <v>5.8573354000000001E-2</v>
      </c>
    </row>
    <row r="9" spans="1:32" x14ac:dyDescent="0.2">
      <c r="A9" s="2" t="s">
        <v>7</v>
      </c>
      <c r="B9" s="4" t="s">
        <v>18</v>
      </c>
      <c r="C9" s="4" t="s">
        <v>39</v>
      </c>
      <c r="D9" s="4">
        <v>8</v>
      </c>
      <c r="E9" s="4">
        <v>0.99757269241382995</v>
      </c>
      <c r="F9" s="4">
        <v>2.24642413610654E-4</v>
      </c>
      <c r="G9" s="4">
        <v>2.2285650000000001E-3</v>
      </c>
      <c r="H9" s="4">
        <v>2.18963E-4</v>
      </c>
      <c r="I9" s="4">
        <v>1.9874258616994601E-4</v>
      </c>
      <c r="J9" s="5">
        <v>5.0193810612664102E-5</v>
      </c>
      <c r="K9" s="6">
        <v>721.29618216699998</v>
      </c>
      <c r="L9" s="4">
        <v>81.794049880412103</v>
      </c>
      <c r="M9" s="6">
        <v>45738.102585036999</v>
      </c>
      <c r="N9" s="4">
        <v>9738.4855866824892</v>
      </c>
      <c r="O9" s="6">
        <v>0</v>
      </c>
      <c r="P9" s="4">
        <v>0</v>
      </c>
      <c r="Q9" s="4">
        <v>1.608727867</v>
      </c>
      <c r="R9" s="4">
        <v>0.241456214</v>
      </c>
      <c r="S9" s="4">
        <v>719.68745430000001</v>
      </c>
      <c r="T9" s="4">
        <v>81.793693489999995</v>
      </c>
      <c r="U9" s="4">
        <v>6.4391450369712304</v>
      </c>
      <c r="V9" s="4">
        <v>9.4103976074041302</v>
      </c>
      <c r="W9" s="4">
        <v>45731.663439999997</v>
      </c>
      <c r="X9" s="4">
        <v>9738.4810400000006</v>
      </c>
      <c r="Y9" s="4">
        <v>0</v>
      </c>
      <c r="Z9" s="4">
        <v>0</v>
      </c>
      <c r="AA9" s="4">
        <v>0</v>
      </c>
      <c r="AB9" s="4">
        <v>0</v>
      </c>
      <c r="AC9" s="6">
        <v>0.74186914100000001</v>
      </c>
      <c r="AD9" s="6">
        <v>5.9724740999999998E-2</v>
      </c>
      <c r="AE9" s="6">
        <v>0.25813085899999999</v>
      </c>
      <c r="AF9" s="6">
        <v>5.9724740999999998E-2</v>
      </c>
    </row>
    <row r="10" spans="1:32" x14ac:dyDescent="0.2">
      <c r="A10" s="2" t="s">
        <v>8</v>
      </c>
      <c r="B10" s="4" t="s">
        <v>19</v>
      </c>
      <c r="C10" s="4" t="s">
        <v>39</v>
      </c>
      <c r="D10" s="4">
        <v>8.8699999999999992</v>
      </c>
      <c r="E10" s="4">
        <v>0.99876114303367602</v>
      </c>
      <c r="F10" s="4">
        <v>1.39689635252909E-4</v>
      </c>
      <c r="G10" s="4">
        <v>1.2179179999999999E-3</v>
      </c>
      <c r="H10" s="4">
        <v>1.3967800000000001E-4</v>
      </c>
      <c r="I10" s="5">
        <v>2.0938966324373901E-5</v>
      </c>
      <c r="J10" s="5">
        <v>1.8029179378729899E-6</v>
      </c>
      <c r="K10" s="6">
        <v>540.00050052100005</v>
      </c>
      <c r="L10" s="4">
        <v>67.724980404671896</v>
      </c>
      <c r="M10" s="6">
        <v>39989.784719113501</v>
      </c>
      <c r="N10" s="4">
        <v>2261.5598034229602</v>
      </c>
      <c r="O10" s="6">
        <v>0</v>
      </c>
      <c r="P10" s="4">
        <v>0</v>
      </c>
      <c r="Q10" s="4">
        <v>0.65808282100000004</v>
      </c>
      <c r="R10" s="4">
        <v>0.11185161</v>
      </c>
      <c r="S10" s="4">
        <v>539.34241770000006</v>
      </c>
      <c r="T10" s="4">
        <v>67.724888039999996</v>
      </c>
      <c r="U10" s="4">
        <v>0.35820911351165402</v>
      </c>
      <c r="V10" s="4">
        <v>0.531362893975172</v>
      </c>
      <c r="W10" s="4">
        <v>39989.426509999998</v>
      </c>
      <c r="X10" s="4">
        <v>2261.559741</v>
      </c>
      <c r="Y10" s="4">
        <v>0</v>
      </c>
      <c r="Z10" s="4">
        <v>0</v>
      </c>
      <c r="AA10" s="4">
        <v>0</v>
      </c>
      <c r="AB10" s="4">
        <v>0</v>
      </c>
      <c r="AC10" s="6">
        <v>0.76058606900000003</v>
      </c>
      <c r="AD10" s="6">
        <v>6.0618742000000003E-2</v>
      </c>
      <c r="AE10" s="6">
        <v>0.239413931</v>
      </c>
      <c r="AF10" s="6">
        <v>6.0618742000000003E-2</v>
      </c>
    </row>
    <row r="11" spans="1:32" x14ac:dyDescent="0.2">
      <c r="A11" s="2" t="s">
        <v>9</v>
      </c>
      <c r="B11" s="4" t="s">
        <v>20</v>
      </c>
      <c r="C11" s="4" t="s">
        <v>41</v>
      </c>
      <c r="D11" s="4">
        <v>7.9</v>
      </c>
      <c r="E11" s="4">
        <v>0.99886536980682805</v>
      </c>
      <c r="F11" s="5">
        <v>4.1504105853535797E-5</v>
      </c>
      <c r="G11" s="4">
        <v>8.9058900000000001E-4</v>
      </c>
      <c r="H11" s="5">
        <v>3.8968999999999999E-5</v>
      </c>
      <c r="I11" s="4">
        <v>2.4404119317173001E-4</v>
      </c>
      <c r="J11" s="5">
        <v>1.42831313689088E-5</v>
      </c>
      <c r="K11" s="6">
        <v>4574.124107658</v>
      </c>
      <c r="L11" s="4">
        <v>224.67740218867999</v>
      </c>
      <c r="M11" s="6">
        <v>707.31190995967199</v>
      </c>
      <c r="N11" s="4">
        <v>242.87203019181501</v>
      </c>
      <c r="O11" s="6">
        <v>18333.386262577598</v>
      </c>
      <c r="P11" s="4">
        <v>2174.5889962541401</v>
      </c>
      <c r="Q11" s="4">
        <v>4.0768076579999999</v>
      </c>
      <c r="R11" s="4">
        <v>0.26820997699999999</v>
      </c>
      <c r="S11" s="4">
        <v>4570.0473000000002</v>
      </c>
      <c r="T11" s="4">
        <v>224.6772421</v>
      </c>
      <c r="U11" s="4">
        <v>0.12938225967165401</v>
      </c>
      <c r="V11" s="4">
        <v>0.18517437704897199</v>
      </c>
      <c r="W11" s="4">
        <v>707.18252770000004</v>
      </c>
      <c r="X11" s="4">
        <v>242.8719596</v>
      </c>
      <c r="Y11" s="4">
        <v>2630.6909890431598</v>
      </c>
      <c r="Z11" s="4">
        <v>366.54539116608697</v>
      </c>
      <c r="AA11" s="4">
        <v>15702.6952735345</v>
      </c>
      <c r="AB11" s="4">
        <v>2143.4742309728099</v>
      </c>
      <c r="AC11" s="6">
        <v>0.52169571699999995</v>
      </c>
      <c r="AD11" s="6">
        <v>5.5644718000000003E-2</v>
      </c>
      <c r="AE11" s="6">
        <v>0.478304283</v>
      </c>
      <c r="AF11" s="6">
        <v>5.5644718000000003E-2</v>
      </c>
    </row>
    <row r="12" spans="1:32" x14ac:dyDescent="0.2">
      <c r="A12" s="2" t="s">
        <v>10</v>
      </c>
      <c r="B12" s="4" t="s">
        <v>20</v>
      </c>
      <c r="C12" s="4" t="s">
        <v>41</v>
      </c>
      <c r="D12" s="4">
        <v>8.4</v>
      </c>
      <c r="E12" s="4">
        <v>0.99891004263739802</v>
      </c>
      <c r="F12" s="5">
        <v>8.1231188077658396E-5</v>
      </c>
      <c r="G12" s="4">
        <v>8.3997399999999995E-4</v>
      </c>
      <c r="H12" s="5">
        <v>4.5105100000000003E-5</v>
      </c>
      <c r="I12" s="4">
        <v>2.4998336260237299E-4</v>
      </c>
      <c r="J12" s="5">
        <v>6.7557648497397496E-5</v>
      </c>
      <c r="K12" s="6">
        <v>4927.7640076890002</v>
      </c>
      <c r="L12" s="4">
        <v>279.85354534968599</v>
      </c>
      <c r="M12" s="6">
        <v>980.59384528361204</v>
      </c>
      <c r="N12" s="4">
        <v>196.795236478454</v>
      </c>
      <c r="O12" s="6">
        <v>22198.4824361629</v>
      </c>
      <c r="P12" s="4">
        <v>3103.0966390035501</v>
      </c>
      <c r="Q12" s="4">
        <v>4.1495446889999998</v>
      </c>
      <c r="R12" s="4">
        <v>0.32434046399999999</v>
      </c>
      <c r="S12" s="4">
        <v>4923.6144629999999</v>
      </c>
      <c r="T12" s="4">
        <v>279.85335739999999</v>
      </c>
      <c r="U12" s="4">
        <v>0.13759028361153999</v>
      </c>
      <c r="V12" s="4">
        <v>0.20014749463228301</v>
      </c>
      <c r="W12" s="4">
        <v>980.45625500000006</v>
      </c>
      <c r="X12" s="4">
        <v>196.79513470000001</v>
      </c>
      <c r="Y12" s="4">
        <v>2219.8001704640701</v>
      </c>
      <c r="Z12" s="4">
        <v>245.819085369178</v>
      </c>
      <c r="AA12" s="4">
        <v>19978.682265698801</v>
      </c>
      <c r="AB12" s="4">
        <v>3093.34474772266</v>
      </c>
      <c r="AC12" s="6">
        <v>0.48514984999999999</v>
      </c>
      <c r="AD12" s="6">
        <v>5.6497251999999998E-2</v>
      </c>
      <c r="AE12" s="6">
        <v>0.51485015000000001</v>
      </c>
      <c r="AF12" s="6">
        <v>5.6497251999999998E-2</v>
      </c>
    </row>
    <row r="13" spans="1:32" x14ac:dyDescent="0.2">
      <c r="A13" s="2" t="s">
        <v>11</v>
      </c>
      <c r="B13" s="4" t="s">
        <v>21</v>
      </c>
      <c r="C13" s="4" t="s">
        <v>41</v>
      </c>
      <c r="D13" s="4">
        <v>7.8</v>
      </c>
      <c r="E13" s="4">
        <v>0.99871379025433205</v>
      </c>
      <c r="F13" s="5">
        <v>9.23924315834133E-5</v>
      </c>
      <c r="G13" s="4">
        <v>9.55626E-4</v>
      </c>
      <c r="H13" s="5">
        <v>8.8346199999999998E-5</v>
      </c>
      <c r="I13" s="4">
        <v>3.30583745668014E-4</v>
      </c>
      <c r="J13" s="5">
        <v>2.70427505896813E-5</v>
      </c>
      <c r="K13" s="6">
        <v>3129.7248712790001</v>
      </c>
      <c r="L13" s="4">
        <v>649.40710993589903</v>
      </c>
      <c r="M13" s="6">
        <v>10044.9017462173</v>
      </c>
      <c r="N13" s="4">
        <v>663.65504989335795</v>
      </c>
      <c r="O13" s="6">
        <v>4243.1321078069104</v>
      </c>
      <c r="P13" s="4">
        <v>2840.7273279186102</v>
      </c>
      <c r="Q13" s="4">
        <v>2.9933322790000001</v>
      </c>
      <c r="R13" s="4">
        <v>0.68039979900000003</v>
      </c>
      <c r="S13" s="4">
        <v>3126.7315389999999</v>
      </c>
      <c r="T13" s="4">
        <v>649.40675350000004</v>
      </c>
      <c r="U13" s="4">
        <v>2.6374362172743999</v>
      </c>
      <c r="V13" s="4">
        <v>3.6466347822633201</v>
      </c>
      <c r="W13" s="4">
        <v>10042.26431</v>
      </c>
      <c r="X13" s="4">
        <v>663.64503109999998</v>
      </c>
      <c r="Y13" s="4">
        <v>802.80082309729596</v>
      </c>
      <c r="Z13" s="4">
        <v>646.21200288764203</v>
      </c>
      <c r="AA13" s="4">
        <v>3440.3312847096099</v>
      </c>
      <c r="AB13" s="4">
        <v>2766.2504946059298</v>
      </c>
      <c r="AC13" s="6">
        <v>0.50073189299999998</v>
      </c>
      <c r="AD13" s="6">
        <v>5.7150227999999997E-2</v>
      </c>
      <c r="AE13" s="6">
        <v>0.49926810700000002</v>
      </c>
      <c r="AF13" s="6">
        <v>5.7150227999999997E-2</v>
      </c>
    </row>
    <row r="14" spans="1:32" x14ac:dyDescent="0.2">
      <c r="A14" s="2" t="s">
        <v>12</v>
      </c>
      <c r="B14" s="4" t="s">
        <v>22</v>
      </c>
      <c r="C14" s="4" t="s">
        <v>41</v>
      </c>
      <c r="D14" s="4">
        <v>7.8</v>
      </c>
      <c r="E14" s="4">
        <v>0.996572385873842</v>
      </c>
      <c r="F14" s="4">
        <v>1.83283187995643E-3</v>
      </c>
      <c r="G14" s="4">
        <v>3.2007530000000002E-3</v>
      </c>
      <c r="H14" s="4">
        <v>1.818865E-3</v>
      </c>
      <c r="I14" s="4">
        <v>2.2686112615805199E-4</v>
      </c>
      <c r="J14" s="4">
        <v>2.2583802151015001E-4</v>
      </c>
      <c r="K14" s="6">
        <v>21235.298995019999</v>
      </c>
      <c r="L14" s="4">
        <v>6047.16383337138</v>
      </c>
      <c r="M14" s="6">
        <v>3467.97097995082</v>
      </c>
      <c r="N14" s="4">
        <v>4252.9671971950602</v>
      </c>
      <c r="O14" s="6">
        <v>0</v>
      </c>
      <c r="P14" s="4">
        <v>0</v>
      </c>
      <c r="Q14" s="4">
        <v>68.007685019999997</v>
      </c>
      <c r="R14" s="4">
        <v>43.144302850000003</v>
      </c>
      <c r="S14" s="4">
        <v>21167.291310000001</v>
      </c>
      <c r="T14" s="4">
        <v>6047.0099220000002</v>
      </c>
      <c r="U14" s="4">
        <v>0.62626495082079503</v>
      </c>
      <c r="V14" s="4">
        <v>1.2102395781533799</v>
      </c>
      <c r="W14" s="4">
        <v>3467.3447150000002</v>
      </c>
      <c r="X14" s="4">
        <v>4252.9670249999999</v>
      </c>
      <c r="Y14" s="4">
        <v>0</v>
      </c>
      <c r="Z14" s="4">
        <v>0</v>
      </c>
      <c r="AA14" s="4">
        <v>0</v>
      </c>
      <c r="AB14" s="4">
        <v>0</v>
      </c>
      <c r="AC14" s="6">
        <v>0.54442007000000003</v>
      </c>
      <c r="AD14" s="6">
        <v>0.104040778</v>
      </c>
      <c r="AE14" s="6">
        <v>0.45557993000000002</v>
      </c>
      <c r="AF14" s="6">
        <v>0.104040778</v>
      </c>
    </row>
    <row r="15" spans="1:32" x14ac:dyDescent="0.2">
      <c r="A15" s="2" t="s">
        <v>13</v>
      </c>
      <c r="B15" s="4" t="s">
        <v>23</v>
      </c>
      <c r="C15" s="4" t="s">
        <v>66</v>
      </c>
      <c r="D15" s="4">
        <v>6.9</v>
      </c>
      <c r="E15" s="4">
        <v>0.99210716252545395</v>
      </c>
      <c r="F15" s="4">
        <v>3.0178087181951499E-3</v>
      </c>
      <c r="G15" s="4">
        <v>3.6049615479099998E-4</v>
      </c>
      <c r="H15" s="5">
        <v>1.22777807146E-5</v>
      </c>
      <c r="I15" s="4">
        <v>7.5323413197555698E-3</v>
      </c>
      <c r="J15" s="4">
        <v>3.0177837423704498E-3</v>
      </c>
      <c r="K15" s="6">
        <v>12977.054734121901</v>
      </c>
      <c r="L15" s="4">
        <v>971.40657776508101</v>
      </c>
      <c r="M15" s="6">
        <v>4005.78426187491</v>
      </c>
      <c r="N15" s="4">
        <v>311.967280054588</v>
      </c>
      <c r="O15" s="6">
        <v>0</v>
      </c>
      <c r="P15" s="4">
        <v>0</v>
      </c>
      <c r="Q15" s="4">
        <v>4.68940602185</v>
      </c>
      <c r="R15" s="4">
        <v>0.38575385788099997</v>
      </c>
      <c r="S15" s="4">
        <v>12972.365328100001</v>
      </c>
      <c r="T15" s="4">
        <v>971.40650117200005</v>
      </c>
      <c r="U15" s="4">
        <v>40.205932724910497</v>
      </c>
      <c r="V15" s="4">
        <v>52.948989326243897</v>
      </c>
      <c r="W15" s="4">
        <v>3965.5783291500002</v>
      </c>
      <c r="X15" s="4">
        <v>307.44103231999998</v>
      </c>
      <c r="Y15" s="4">
        <v>0</v>
      </c>
      <c r="Z15" s="4">
        <v>0</v>
      </c>
      <c r="AA15" s="4">
        <v>0</v>
      </c>
      <c r="AB15" s="4">
        <v>0</v>
      </c>
      <c r="AC15" s="6">
        <v>0.61889433168619012</v>
      </c>
      <c r="AD15" s="6">
        <v>8.2908202108387424E-2</v>
      </c>
      <c r="AE15" s="6">
        <v>0.38110566831380988</v>
      </c>
      <c r="AF15" s="6">
        <v>8.2908202108387424E-2</v>
      </c>
    </row>
    <row r="16" spans="1:32" x14ac:dyDescent="0.2">
      <c r="A16" s="2">
        <v>5</v>
      </c>
      <c r="B16" s="4" t="s">
        <v>24</v>
      </c>
      <c r="C16" s="4" t="s">
        <v>66</v>
      </c>
      <c r="D16" s="4">
        <v>6.9</v>
      </c>
      <c r="E16" s="4">
        <v>0.99084971556287504</v>
      </c>
      <c r="F16" s="4">
        <v>2.10164468829131E-3</v>
      </c>
      <c r="G16" s="4">
        <v>1.6000000000000001E-3</v>
      </c>
      <c r="H16" s="4">
        <v>2.9999999999999997E-4</v>
      </c>
      <c r="I16" s="4">
        <v>7.5502844371249603E-3</v>
      </c>
      <c r="J16" s="4">
        <v>2.08012268768529E-3</v>
      </c>
      <c r="K16" s="6">
        <v>5949</v>
      </c>
      <c r="L16" s="4">
        <v>709.00633789185497</v>
      </c>
      <c r="M16" s="6">
        <v>983.56146983471899</v>
      </c>
      <c r="N16" s="4">
        <v>683.15896905681905</v>
      </c>
      <c r="O16" s="6">
        <v>0</v>
      </c>
      <c r="P16" s="4">
        <v>0</v>
      </c>
      <c r="Q16" s="4">
        <v>9.5412991178829198</v>
      </c>
      <c r="R16" s="4">
        <v>2.1198078708860901</v>
      </c>
      <c r="S16" s="4">
        <v>5939.45870088212</v>
      </c>
      <c r="T16" s="4">
        <v>709.00316895300898</v>
      </c>
      <c r="U16" s="4">
        <v>9.9076236808726001</v>
      </c>
      <c r="V16" s="4">
        <v>14.642247054086701</v>
      </c>
      <c r="W16" s="4">
        <v>973.65384615384596</v>
      </c>
      <c r="X16" s="4">
        <v>683.00203631027603</v>
      </c>
      <c r="Y16" s="4">
        <v>0</v>
      </c>
      <c r="Z16" s="4">
        <v>0</v>
      </c>
      <c r="AA16" s="4">
        <v>0</v>
      </c>
      <c r="AB16" s="4">
        <v>0</v>
      </c>
      <c r="AC16" s="4">
        <v>0.73510356264130672</v>
      </c>
      <c r="AD16" s="4">
        <v>0.17735281444822368</v>
      </c>
      <c r="AE16" s="4">
        <v>0.26489643735869323</v>
      </c>
      <c r="AF16" s="4">
        <v>0.17735281444822368</v>
      </c>
    </row>
    <row r="17" spans="1:32" x14ac:dyDescent="0.2">
      <c r="A17" s="2">
        <v>6</v>
      </c>
      <c r="B17" s="4" t="s">
        <v>24</v>
      </c>
      <c r="C17" s="4" t="s">
        <v>66</v>
      </c>
      <c r="D17" s="4">
        <v>8</v>
      </c>
      <c r="E17" s="4">
        <v>0.99645121976937601</v>
      </c>
      <c r="F17" s="4">
        <v>3.4373454880867399E-3</v>
      </c>
      <c r="G17" s="4">
        <v>1.4E-3</v>
      </c>
      <c r="H17" s="4">
        <v>4.0000000000000002E-4</v>
      </c>
      <c r="I17" s="4">
        <v>2.1487802306236902E-3</v>
      </c>
      <c r="J17" s="4">
        <v>3.4139923849461399E-3</v>
      </c>
      <c r="K17" s="6">
        <v>8059</v>
      </c>
      <c r="L17" s="4">
        <v>4243.0109509004296</v>
      </c>
      <c r="M17" s="6">
        <v>576.93252255520395</v>
      </c>
      <c r="N17" s="4">
        <v>662.02703413162897</v>
      </c>
      <c r="O17" s="6">
        <v>0</v>
      </c>
      <c r="P17" s="4">
        <v>0</v>
      </c>
      <c r="Q17" s="4">
        <v>11.379324256177499</v>
      </c>
      <c r="R17" s="4">
        <v>6.8165042727688103</v>
      </c>
      <c r="S17" s="4">
        <v>8047.6206757438204</v>
      </c>
      <c r="T17" s="4">
        <v>4243.0054754537496</v>
      </c>
      <c r="U17" s="4">
        <v>0.87794614823371997</v>
      </c>
      <c r="V17" s="4">
        <v>1.5965292562559901</v>
      </c>
      <c r="W17" s="4">
        <v>576.05457640697</v>
      </c>
      <c r="X17" s="4">
        <v>662.02510905210704</v>
      </c>
      <c r="Y17" s="4">
        <v>0</v>
      </c>
      <c r="Z17" s="4">
        <v>0</v>
      </c>
      <c r="AA17" s="4">
        <v>0</v>
      </c>
      <c r="AB17" s="4">
        <v>0</v>
      </c>
      <c r="AC17" s="4">
        <v>0.80131153624686902</v>
      </c>
      <c r="AD17" s="4">
        <v>0.18960565929723863</v>
      </c>
      <c r="AE17" s="4">
        <v>0.19868846375313093</v>
      </c>
      <c r="AF17" s="4">
        <v>0.18960565929723863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5F929-82E1-854F-9A67-EB0E8408FE2D}">
  <dimension ref="A1:AF12"/>
  <sheetViews>
    <sheetView topLeftCell="D1" workbookViewId="0">
      <selection activeCell="AC14" sqref="AC14"/>
    </sheetView>
  </sheetViews>
  <sheetFormatPr baseColWidth="10" defaultRowHeight="16" x14ac:dyDescent="0.2"/>
  <cols>
    <col min="2" max="2" width="13.83203125" bestFit="1" customWidth="1"/>
  </cols>
  <sheetData>
    <row r="1" spans="1:32" x14ac:dyDescent="0.2">
      <c r="A1" s="4"/>
      <c r="B1" s="2" t="s">
        <v>14</v>
      </c>
      <c r="C1" s="2" t="s">
        <v>38</v>
      </c>
      <c r="D1" s="2" t="s">
        <v>35</v>
      </c>
      <c r="E1" s="1" t="s">
        <v>54</v>
      </c>
      <c r="F1" s="1" t="s">
        <v>55</v>
      </c>
      <c r="G1" s="1" t="s">
        <v>56</v>
      </c>
      <c r="H1" s="1" t="s">
        <v>79</v>
      </c>
      <c r="I1" s="1" t="s">
        <v>57</v>
      </c>
      <c r="J1" s="1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72</v>
      </c>
      <c r="R1" s="3" t="s">
        <v>73</v>
      </c>
      <c r="S1" s="3" t="s">
        <v>67</v>
      </c>
      <c r="T1" s="3" t="s">
        <v>74</v>
      </c>
      <c r="U1" s="3" t="s">
        <v>68</v>
      </c>
      <c r="V1" s="8" t="s">
        <v>75</v>
      </c>
      <c r="W1" s="3" t="s">
        <v>69</v>
      </c>
      <c r="X1" s="3" t="s">
        <v>76</v>
      </c>
      <c r="Y1" s="3" t="s">
        <v>70</v>
      </c>
      <c r="Z1" s="8" t="s">
        <v>77</v>
      </c>
      <c r="AA1" s="3" t="s">
        <v>71</v>
      </c>
      <c r="AB1" s="3" t="s">
        <v>78</v>
      </c>
      <c r="AC1" s="3" t="s">
        <v>80</v>
      </c>
      <c r="AD1" s="3" t="s">
        <v>81</v>
      </c>
      <c r="AE1" s="3" t="s">
        <v>82</v>
      </c>
      <c r="AF1" s="3" t="s">
        <v>83</v>
      </c>
    </row>
    <row r="2" spans="1:32" x14ac:dyDescent="0.2">
      <c r="A2" s="2" t="s">
        <v>25</v>
      </c>
      <c r="B2" s="4" t="s">
        <v>15</v>
      </c>
      <c r="C2" s="4" t="s">
        <v>39</v>
      </c>
      <c r="D2" s="4">
        <v>7.9</v>
      </c>
      <c r="E2" s="4">
        <v>0.99821767795884897</v>
      </c>
      <c r="F2" s="5">
        <v>2.52722834307736E-5</v>
      </c>
      <c r="G2" s="4">
        <v>1.754893E-3</v>
      </c>
      <c r="H2" s="5">
        <v>2.5268800000000001E-5</v>
      </c>
      <c r="I2" s="5">
        <v>2.7429041150804299E-5</v>
      </c>
      <c r="J2" s="5">
        <v>4.1959071171319999E-7</v>
      </c>
      <c r="K2" s="4">
        <v>2719.2863376740002</v>
      </c>
      <c r="L2" s="4">
        <v>56.321966301361499</v>
      </c>
      <c r="M2" s="4">
        <v>8053.9912458785802</v>
      </c>
      <c r="N2" s="4">
        <v>2773.1877660723999</v>
      </c>
      <c r="O2" s="4">
        <v>0</v>
      </c>
      <c r="P2" s="4">
        <v>0</v>
      </c>
      <c r="Q2" s="4">
        <v>4.772470674</v>
      </c>
      <c r="R2" s="4">
        <v>0.120461314</v>
      </c>
      <c r="S2" s="4">
        <v>2714.5138670000001</v>
      </c>
      <c r="T2" s="4">
        <v>56.321837479999999</v>
      </c>
      <c r="U2" s="4">
        <v>5.5253878584008403E-2</v>
      </c>
      <c r="V2" s="4">
        <v>2.0039101553664399E-2</v>
      </c>
      <c r="W2" s="4">
        <v>8053.9359919999997</v>
      </c>
      <c r="X2" s="4">
        <v>2773.187766</v>
      </c>
      <c r="Y2" s="4">
        <v>0</v>
      </c>
      <c r="Z2" s="4">
        <v>0</v>
      </c>
      <c r="AA2" s="4">
        <v>0</v>
      </c>
      <c r="AB2" s="4">
        <v>0</v>
      </c>
      <c r="AC2" s="6">
        <v>0.67665329900000004</v>
      </c>
      <c r="AD2" s="6">
        <v>5.7163710999999999E-2</v>
      </c>
      <c r="AE2" s="6">
        <v>0.32334670100000001</v>
      </c>
      <c r="AF2" s="6">
        <v>5.7163710999999999E-2</v>
      </c>
    </row>
    <row r="3" spans="1:32" x14ac:dyDescent="0.2">
      <c r="A3" s="2" t="s">
        <v>26</v>
      </c>
      <c r="B3" s="4" t="s">
        <v>15</v>
      </c>
      <c r="C3" s="4" t="s">
        <v>39</v>
      </c>
      <c r="D3" s="4">
        <v>8.4</v>
      </c>
      <c r="E3" s="4">
        <v>0.99884926690077802</v>
      </c>
      <c r="F3" s="5">
        <v>1.1175470952287001E-5</v>
      </c>
      <c r="G3" s="4">
        <v>1.1111459999999999E-3</v>
      </c>
      <c r="H3" s="5">
        <v>1.11724E-5</v>
      </c>
      <c r="I3" s="5">
        <v>3.9587099222497798E-5</v>
      </c>
      <c r="J3" s="5">
        <v>2.6197184087221398E-7</v>
      </c>
      <c r="K3" s="4">
        <v>2130.419943204</v>
      </c>
      <c r="L3" s="4">
        <v>83.626341172748695</v>
      </c>
      <c r="M3" s="4">
        <v>22704.8152731228</v>
      </c>
      <c r="N3" s="4">
        <v>1255.7323860040699</v>
      </c>
      <c r="O3" s="4">
        <v>13581.164155546699</v>
      </c>
      <c r="P3" s="4">
        <v>1643.59884575862</v>
      </c>
      <c r="Q3" s="4">
        <v>2.368144204</v>
      </c>
      <c r="R3" s="4">
        <v>9.6052665999999995E-2</v>
      </c>
      <c r="S3" s="4">
        <v>2128.0517989999998</v>
      </c>
      <c r="T3" s="4">
        <v>83.626286010000001</v>
      </c>
      <c r="U3" s="4">
        <v>5.60931228108386E-2</v>
      </c>
      <c r="V3" s="4">
        <v>3.1951504162681002E-3</v>
      </c>
      <c r="W3" s="4">
        <v>22704.759180000001</v>
      </c>
      <c r="X3" s="4">
        <v>1255.7323859999999</v>
      </c>
      <c r="Y3" s="4">
        <v>556.35108666715098</v>
      </c>
      <c r="Z3" s="4">
        <v>70.350671759737807</v>
      </c>
      <c r="AA3" s="4">
        <v>13024.813068879601</v>
      </c>
      <c r="AB3" s="4">
        <v>1642.09255182588</v>
      </c>
      <c r="AC3" s="6">
        <v>0.67758840399999998</v>
      </c>
      <c r="AD3" s="6">
        <v>5.7193582999999999E-2</v>
      </c>
      <c r="AE3" s="6">
        <v>0.32241159600000002</v>
      </c>
      <c r="AF3" s="6">
        <v>5.7193582999999999E-2</v>
      </c>
    </row>
    <row r="4" spans="1:32" x14ac:dyDescent="0.2">
      <c r="A4" s="2" t="s">
        <v>27</v>
      </c>
      <c r="B4" s="4" t="s">
        <v>15</v>
      </c>
      <c r="C4" s="4" t="s">
        <v>39</v>
      </c>
      <c r="D4" s="4">
        <v>8.8000000000000007</v>
      </c>
      <c r="E4" s="4">
        <v>0.99815596934807105</v>
      </c>
      <c r="F4" s="4">
        <v>1.11821892129137E-4</v>
      </c>
      <c r="G4" s="4">
        <v>1.728799E-3</v>
      </c>
      <c r="H4" s="5">
        <v>8.5788499999999994E-5</v>
      </c>
      <c r="I4" s="4">
        <v>1.1523165192931301E-4</v>
      </c>
      <c r="J4" s="5">
        <v>7.1724952611279904E-5</v>
      </c>
      <c r="K4" s="4">
        <v>2675.3977402679998</v>
      </c>
      <c r="L4" s="4">
        <v>187.20566341685699</v>
      </c>
      <c r="M4" s="4">
        <v>23272.887899843801</v>
      </c>
      <c r="N4" s="4">
        <v>3964.7749710426001</v>
      </c>
      <c r="O4" s="4">
        <v>0</v>
      </c>
      <c r="P4" s="4">
        <v>0</v>
      </c>
      <c r="Q4" s="4">
        <v>4.6386132680000003</v>
      </c>
      <c r="R4" s="4">
        <v>0.39816063099999999</v>
      </c>
      <c r="S4" s="4">
        <v>2670.7591269999998</v>
      </c>
      <c r="T4" s="4">
        <v>187.20524</v>
      </c>
      <c r="U4" s="4">
        <v>5.5189843781890201E-2</v>
      </c>
      <c r="V4" s="4">
        <v>1.8379979596869201E-2</v>
      </c>
      <c r="W4" s="4">
        <v>23272.832709999999</v>
      </c>
      <c r="X4" s="4">
        <v>3964.7749709999998</v>
      </c>
      <c r="Y4" s="4">
        <v>0</v>
      </c>
      <c r="Z4" s="4">
        <v>0</v>
      </c>
      <c r="AA4" s="4">
        <v>0</v>
      </c>
      <c r="AB4" s="4">
        <v>0</v>
      </c>
      <c r="AC4" s="6">
        <v>0.67092558000000002</v>
      </c>
      <c r="AD4" s="6">
        <v>5.7212331999999998E-2</v>
      </c>
      <c r="AE4" s="6">
        <v>0.32907441999999998</v>
      </c>
      <c r="AF4" s="6">
        <v>5.7212331999999998E-2</v>
      </c>
    </row>
    <row r="5" spans="1:32" x14ac:dyDescent="0.2">
      <c r="A5" s="2" t="s">
        <v>28</v>
      </c>
      <c r="B5" s="4" t="s">
        <v>17</v>
      </c>
      <c r="C5" s="4" t="s">
        <v>39</v>
      </c>
      <c r="D5" s="4">
        <v>8</v>
      </c>
      <c r="E5" s="4">
        <v>0.99858664382069495</v>
      </c>
      <c r="F5" s="5">
        <v>1.42502756100728E-5</v>
      </c>
      <c r="G5" s="4">
        <v>1.0537529999999999E-3</v>
      </c>
      <c r="H5" s="5">
        <v>1.36061E-5</v>
      </c>
      <c r="I5" s="4">
        <v>3.5960317930470201E-4</v>
      </c>
      <c r="J5" s="5">
        <v>4.2360828312292004E-6</v>
      </c>
      <c r="K5" s="4">
        <v>5512.4072255669998</v>
      </c>
      <c r="L5" s="4">
        <v>190.49736026703999</v>
      </c>
      <c r="M5" s="4">
        <v>4333.6349378504801</v>
      </c>
      <c r="N5" s="4">
        <v>117.34017993078299</v>
      </c>
      <c r="O5" s="4">
        <v>5336.2884381787298</v>
      </c>
      <c r="P5" s="4">
        <v>258.44517242812702</v>
      </c>
      <c r="Q5" s="4">
        <v>5.8170365669999997</v>
      </c>
      <c r="R5" s="4">
        <v>0.21476938400000001</v>
      </c>
      <c r="S5" s="4">
        <v>5506.5901889999996</v>
      </c>
      <c r="T5" s="4">
        <v>190.4972392</v>
      </c>
      <c r="U5" s="4">
        <v>0.29519185047767499</v>
      </c>
      <c r="V5" s="4">
        <v>8.8106882739133908E-3</v>
      </c>
      <c r="W5" s="4">
        <v>4333.3397459999996</v>
      </c>
      <c r="X5" s="4">
        <v>117.3401796</v>
      </c>
      <c r="Y5" s="4">
        <v>1469.9163884217</v>
      </c>
      <c r="Z5" s="4">
        <v>91.464429433174203</v>
      </c>
      <c r="AA5" s="4">
        <v>3866.3720497570298</v>
      </c>
      <c r="AB5" s="4">
        <v>241.719186867464</v>
      </c>
      <c r="AC5" s="6">
        <v>0.709092897</v>
      </c>
      <c r="AD5" s="6">
        <v>5.8663207000000002E-2</v>
      </c>
      <c r="AE5" s="6">
        <v>0.290907103</v>
      </c>
      <c r="AF5" s="6">
        <v>5.8663207000000002E-2</v>
      </c>
    </row>
    <row r="6" spans="1:32" x14ac:dyDescent="0.2">
      <c r="A6" s="2" t="s">
        <v>29</v>
      </c>
      <c r="B6" s="4" t="s">
        <v>17</v>
      </c>
      <c r="C6" s="4" t="s">
        <v>39</v>
      </c>
      <c r="D6" s="4">
        <v>8.4</v>
      </c>
      <c r="E6" s="4">
        <v>0.99876951357862198</v>
      </c>
      <c r="F6" s="5">
        <v>1.6278411716956401E-5</v>
      </c>
      <c r="G6" s="4">
        <v>9.3371999999999997E-4</v>
      </c>
      <c r="H6" s="5">
        <v>1.47411E-5</v>
      </c>
      <c r="I6" s="4">
        <v>2.9676642137791402E-4</v>
      </c>
      <c r="J6" s="5">
        <v>6.9055527524409401E-6</v>
      </c>
      <c r="K6" s="4">
        <v>6133.4177897930003</v>
      </c>
      <c r="L6" s="4">
        <v>288.09636781448501</v>
      </c>
      <c r="M6" s="4">
        <v>3642.0830716463302</v>
      </c>
      <c r="N6" s="4">
        <v>100.22807922136801</v>
      </c>
      <c r="O6" s="4">
        <v>5336.2884554964003</v>
      </c>
      <c r="P6" s="4">
        <v>311.71964556190602</v>
      </c>
      <c r="Q6" s="4">
        <v>5.7438977930000004</v>
      </c>
      <c r="R6" s="4">
        <v>0.28484427899999998</v>
      </c>
      <c r="S6" s="4">
        <v>6127.6738919999998</v>
      </c>
      <c r="T6" s="4">
        <v>288.096227</v>
      </c>
      <c r="U6" s="4">
        <v>6.7457646330664603E-2</v>
      </c>
      <c r="V6" s="4">
        <v>2.0696065426865601E-3</v>
      </c>
      <c r="W6" s="4">
        <v>3642.0156139999999</v>
      </c>
      <c r="X6" s="4">
        <v>100.2280792</v>
      </c>
      <c r="Y6" s="4">
        <v>1469.91640573937</v>
      </c>
      <c r="Z6" s="4">
        <v>109.225660628668</v>
      </c>
      <c r="AA6" s="4">
        <v>3866.3720497570298</v>
      </c>
      <c r="AB6" s="4">
        <v>291.95700452202101</v>
      </c>
      <c r="AC6" s="6">
        <v>0.70213280199999994</v>
      </c>
      <c r="AD6" s="6">
        <v>5.9576839999999999E-2</v>
      </c>
      <c r="AE6" s="6">
        <v>0.297867198</v>
      </c>
      <c r="AF6" s="6">
        <v>5.9576839999999999E-2</v>
      </c>
    </row>
    <row r="7" spans="1:32" x14ac:dyDescent="0.2">
      <c r="A7" s="2" t="s">
        <v>30</v>
      </c>
      <c r="B7" s="4" t="s">
        <v>20</v>
      </c>
      <c r="C7" s="4" t="s">
        <v>41</v>
      </c>
      <c r="D7" s="4">
        <v>7.9</v>
      </c>
      <c r="E7" s="4">
        <v>0.99788021352407796</v>
      </c>
      <c r="F7" s="5">
        <v>3.1813725839497802E-5</v>
      </c>
      <c r="G7" s="4">
        <v>1.6100730000000001E-3</v>
      </c>
      <c r="H7" s="5">
        <v>3.29882E-9</v>
      </c>
      <c r="I7" s="4">
        <v>5.0971347592153402E-4</v>
      </c>
      <c r="J7" s="5">
        <v>3.1813725668467701E-5</v>
      </c>
      <c r="K7" s="4">
        <v>12515.97480677</v>
      </c>
      <c r="L7" s="4">
        <v>541.71662940046394</v>
      </c>
      <c r="M7" s="4">
        <v>1131.8469058553601</v>
      </c>
      <c r="N7" s="4">
        <v>213.835462672674</v>
      </c>
      <c r="O7" s="4">
        <v>24855.8747802121</v>
      </c>
      <c r="P7" s="4">
        <v>1607.3282836061801</v>
      </c>
      <c r="Q7" s="4">
        <v>20.184126769999999</v>
      </c>
      <c r="R7" s="4">
        <v>0.87502130700000003</v>
      </c>
      <c r="S7" s="4">
        <v>12495.79068</v>
      </c>
      <c r="T7" s="4">
        <v>541.71592269999996</v>
      </c>
      <c r="U7" s="4">
        <v>0.14432785536318199</v>
      </c>
      <c r="V7" s="4">
        <v>2.82999703020059E-2</v>
      </c>
      <c r="W7" s="4">
        <v>1131.7025779999999</v>
      </c>
      <c r="X7" s="4">
        <v>213.83546079999999</v>
      </c>
      <c r="Y7" s="4">
        <v>6393.7827679694601</v>
      </c>
      <c r="Z7" s="4">
        <v>525.99851915214595</v>
      </c>
      <c r="AA7" s="4">
        <v>18462.0920122426</v>
      </c>
      <c r="AB7" s="4">
        <v>1518.82512789661</v>
      </c>
      <c r="AC7" s="6">
        <v>0.53480913399999996</v>
      </c>
      <c r="AD7" s="6">
        <v>5.7616217999999997E-2</v>
      </c>
      <c r="AE7" s="6">
        <v>0.46519086599999998</v>
      </c>
      <c r="AF7" s="6">
        <v>5.7616217999999997E-2</v>
      </c>
    </row>
    <row r="8" spans="1:32" x14ac:dyDescent="0.2">
      <c r="A8" s="2" t="s">
        <v>31</v>
      </c>
      <c r="B8" s="4" t="s">
        <v>20</v>
      </c>
      <c r="C8" s="4" t="s">
        <v>41</v>
      </c>
      <c r="D8" s="4">
        <v>8.4</v>
      </c>
      <c r="E8" s="4">
        <v>0.99793419801401595</v>
      </c>
      <c r="F8" s="4">
        <v>3.1071769533699199E-4</v>
      </c>
      <c r="G8" s="4">
        <v>1.629929E-3</v>
      </c>
      <c r="H8" s="4">
        <v>2.8904499999999998E-4</v>
      </c>
      <c r="I8" s="4">
        <v>4.3587298598435202E-4</v>
      </c>
      <c r="J8" s="4">
        <v>1.14010851108707E-4</v>
      </c>
      <c r="K8" s="4">
        <v>12195.04438718</v>
      </c>
      <c r="L8" s="4">
        <v>1206.6750146816701</v>
      </c>
      <c r="M8" s="4">
        <v>2387.4887173627399</v>
      </c>
      <c r="N8" s="4">
        <v>558.131877423113</v>
      </c>
      <c r="O8" s="4">
        <v>21585.529593099</v>
      </c>
      <c r="P8" s="4">
        <v>4547.0820268758998</v>
      </c>
      <c r="Q8" s="4">
        <v>19.963737179999999</v>
      </c>
      <c r="R8" s="4">
        <v>4.0506237030000003</v>
      </c>
      <c r="S8" s="4">
        <v>12175.08065</v>
      </c>
      <c r="T8" s="4">
        <v>1206.668216</v>
      </c>
      <c r="U8" s="4">
        <v>6.5002362741402406E-2</v>
      </c>
      <c r="V8" s="4">
        <v>1.5781417794720899E-2</v>
      </c>
      <c r="W8" s="4">
        <v>2387.4237149999999</v>
      </c>
      <c r="X8" s="4">
        <v>558.13187719999996</v>
      </c>
      <c r="Y8" s="4">
        <v>5226.3805077200896</v>
      </c>
      <c r="Z8" s="4">
        <v>1230.1181474771799</v>
      </c>
      <c r="AA8" s="4">
        <v>16359.1490853789</v>
      </c>
      <c r="AB8" s="4">
        <v>4377.5294747591597</v>
      </c>
      <c r="AC8" s="6">
        <v>0.47278350400000002</v>
      </c>
      <c r="AD8" s="6">
        <v>6.3852928000000003E-2</v>
      </c>
      <c r="AE8" s="6">
        <v>0.52721649599999998</v>
      </c>
      <c r="AF8" s="6">
        <v>6.3852928000000003E-2</v>
      </c>
    </row>
    <row r="9" spans="1:32" x14ac:dyDescent="0.2">
      <c r="A9" s="2" t="s">
        <v>32</v>
      </c>
      <c r="B9" s="4" t="s">
        <v>34</v>
      </c>
      <c r="C9" s="4" t="s">
        <v>41</v>
      </c>
      <c r="D9" s="4">
        <v>7.9</v>
      </c>
      <c r="E9" s="4">
        <v>0.99865551706142497</v>
      </c>
      <c r="F9" s="5">
        <v>6.2317752558001599E-5</v>
      </c>
      <c r="G9" s="4">
        <v>1.0294150000000001E-3</v>
      </c>
      <c r="H9" s="5">
        <v>5.9130599999999999E-5</v>
      </c>
      <c r="I9" s="4">
        <v>3.1506793857470199E-4</v>
      </c>
      <c r="J9" s="5">
        <v>1.9674207163703199E-5</v>
      </c>
      <c r="K9" s="4">
        <v>1174.886925148</v>
      </c>
      <c r="L9" s="4">
        <v>119.706175941382</v>
      </c>
      <c r="M9" s="4">
        <v>1113.72651284166</v>
      </c>
      <c r="N9" s="4">
        <v>116.10005343594401</v>
      </c>
      <c r="O9" s="4">
        <v>13500.8821830611</v>
      </c>
      <c r="P9" s="4">
        <v>1139.8763390724</v>
      </c>
      <c r="Q9" s="4">
        <v>1.2106521480000001</v>
      </c>
      <c r="R9" s="4">
        <v>0.141677999</v>
      </c>
      <c r="S9" s="4">
        <v>1173.676273</v>
      </c>
      <c r="T9" s="4">
        <v>119.70609210000001</v>
      </c>
      <c r="U9" s="4">
        <v>8.7720841655564999E-2</v>
      </c>
      <c r="V9" s="4">
        <v>1.1155545260182699E-2</v>
      </c>
      <c r="W9" s="4">
        <v>1113.638792</v>
      </c>
      <c r="X9" s="4">
        <v>116.10005289999999</v>
      </c>
      <c r="Y9" s="4">
        <v>3387.5574880832301</v>
      </c>
      <c r="Z9" s="4">
        <v>364.06368830175097</v>
      </c>
      <c r="AA9" s="4">
        <v>10113.3246949779</v>
      </c>
      <c r="AB9" s="4">
        <v>1080.1739208281399</v>
      </c>
      <c r="AC9" s="6">
        <v>0.49542183699999998</v>
      </c>
      <c r="AD9" s="6">
        <v>5.5727803999999999E-2</v>
      </c>
      <c r="AE9" s="6">
        <v>0.50457816300000002</v>
      </c>
      <c r="AF9" s="6">
        <v>5.5727803999999999E-2</v>
      </c>
    </row>
    <row r="10" spans="1:32" x14ac:dyDescent="0.2">
      <c r="A10" s="2" t="s">
        <v>33</v>
      </c>
      <c r="B10" s="4" t="s">
        <v>21</v>
      </c>
      <c r="C10" s="4" t="s">
        <v>41</v>
      </c>
      <c r="D10" s="4">
        <v>7.8</v>
      </c>
      <c r="E10" s="4">
        <v>0.99751607330006098</v>
      </c>
      <c r="F10" s="4">
        <v>2.8543616392206101E-4</v>
      </c>
      <c r="G10" s="4">
        <v>1.943146E-3</v>
      </c>
      <c r="H10" s="4">
        <v>1.0814700000000001E-4</v>
      </c>
      <c r="I10" s="4">
        <v>5.40780699938728E-4</v>
      </c>
      <c r="J10" s="4">
        <v>2.64155314286012E-4</v>
      </c>
      <c r="K10" s="4">
        <v>9868.4206677399998</v>
      </c>
      <c r="L10" s="4">
        <v>472.21431797054402</v>
      </c>
      <c r="M10" s="4">
        <v>27094.026773059199</v>
      </c>
      <c r="N10" s="4">
        <v>13798.4527825528</v>
      </c>
      <c r="O10" s="4">
        <v>0</v>
      </c>
      <c r="P10" s="4">
        <v>0</v>
      </c>
      <c r="Q10" s="4">
        <v>19.201847740000002</v>
      </c>
      <c r="R10" s="4">
        <v>1.4090229379999999</v>
      </c>
      <c r="S10" s="4">
        <v>9849.2188200000001</v>
      </c>
      <c r="T10" s="4">
        <v>472.21221580000002</v>
      </c>
      <c r="U10" s="4">
        <v>4.8394230591626899</v>
      </c>
      <c r="V10" s="4">
        <v>3.3741932643080701</v>
      </c>
      <c r="W10" s="4">
        <v>27089.18735</v>
      </c>
      <c r="X10" s="4">
        <v>13798.452370000001</v>
      </c>
      <c r="Y10" s="4">
        <v>0</v>
      </c>
      <c r="Z10" s="4">
        <v>0</v>
      </c>
      <c r="AA10" s="4">
        <v>0</v>
      </c>
      <c r="AB10" s="4">
        <v>0</v>
      </c>
      <c r="AC10" s="6">
        <v>0.48058045500000002</v>
      </c>
      <c r="AD10" s="6">
        <v>5.9189362000000002E-2</v>
      </c>
      <c r="AE10" s="6">
        <v>0.51941954499999998</v>
      </c>
      <c r="AF10" s="6">
        <v>5.9189362000000002E-2</v>
      </c>
    </row>
    <row r="11" spans="1:32" x14ac:dyDescent="0.2">
      <c r="A11" s="2">
        <v>0</v>
      </c>
      <c r="B11" s="4" t="s">
        <v>36</v>
      </c>
      <c r="C11" s="4" t="s">
        <v>65</v>
      </c>
      <c r="D11" s="4">
        <v>7.4</v>
      </c>
      <c r="E11" s="4">
        <v>0.99687807114399996</v>
      </c>
      <c r="F11" s="4">
        <v>8.4532924096300001E-4</v>
      </c>
      <c r="G11" s="4">
        <v>1.94373338411817E-3</v>
      </c>
      <c r="H11" s="4">
        <v>6.0649161237565899E-4</v>
      </c>
      <c r="I11" s="4">
        <v>1.1781954721006001E-3</v>
      </c>
      <c r="J11" s="4">
        <v>5.8885435359279001E-4</v>
      </c>
      <c r="K11" s="4">
        <v>3980.6798679774602</v>
      </c>
      <c r="L11" s="4">
        <v>862.96222067341398</v>
      </c>
      <c r="M11" s="4">
        <v>4703.67256889499</v>
      </c>
      <c r="N11" s="4">
        <v>1709.9331463255401</v>
      </c>
      <c r="O11" s="4">
        <v>12599.481140488801</v>
      </c>
      <c r="P11" s="4">
        <v>6232.70001569947</v>
      </c>
      <c r="Q11" s="4">
        <v>7.7465072506399997</v>
      </c>
      <c r="R11" s="4">
        <v>2.9393689320899998</v>
      </c>
      <c r="S11" s="4">
        <v>3972.93336073</v>
      </c>
      <c r="T11" s="4">
        <v>861.28625208699998</v>
      </c>
      <c r="U11" s="4">
        <v>5.5526385718800002</v>
      </c>
      <c r="V11" s="4">
        <v>3.42899565965</v>
      </c>
      <c r="W11" s="4">
        <v>4698.1199303200001</v>
      </c>
      <c r="X11" s="4">
        <v>1707.9168366500001</v>
      </c>
      <c r="Y11" s="4">
        <v>4754.9615363499997</v>
      </c>
      <c r="Z11" s="4">
        <v>2928.3662716399999</v>
      </c>
      <c r="AA11" s="4">
        <v>7844.5196041400004</v>
      </c>
      <c r="AB11" s="4">
        <v>4254.52847931</v>
      </c>
      <c r="AC11" s="4">
        <v>0.38872274936326862</v>
      </c>
      <c r="AD11" s="4">
        <v>0.13808081771225506</v>
      </c>
      <c r="AE11" s="4">
        <v>0.61127725063673144</v>
      </c>
      <c r="AF11" s="4">
        <v>0.13808081771225506</v>
      </c>
    </row>
    <row r="12" spans="1:32" x14ac:dyDescent="0.2">
      <c r="A12" s="2">
        <v>3</v>
      </c>
      <c r="B12" s="4" t="s">
        <v>37</v>
      </c>
      <c r="C12" s="4" t="s">
        <v>65</v>
      </c>
      <c r="D12" s="4">
        <v>7.8</v>
      </c>
      <c r="E12" s="4">
        <v>0.99920819271282202</v>
      </c>
      <c r="F12" s="5">
        <v>6.7935406837103807E-5</v>
      </c>
      <c r="G12" s="4">
        <v>7.36789514765242E-4</v>
      </c>
      <c r="H12" s="5">
        <v>6.7879564326858794E-5</v>
      </c>
      <c r="I12" s="5">
        <v>5.5017772412653002E-5</v>
      </c>
      <c r="J12" s="5">
        <v>2.75395150985803E-6</v>
      </c>
      <c r="K12" s="4">
        <v>5038.4403821864798</v>
      </c>
      <c r="L12" s="4">
        <v>726.64679696479197</v>
      </c>
      <c r="M12" s="4">
        <v>9498.5958807605402</v>
      </c>
      <c r="N12" s="4">
        <v>2493.2892513534798</v>
      </c>
      <c r="O12" s="4">
        <v>14095.8670461003</v>
      </c>
      <c r="P12" s="4">
        <v>8721.0162052024007</v>
      </c>
      <c r="Q12" s="4">
        <v>3.713083186</v>
      </c>
      <c r="R12" s="4">
        <v>0.63563679299999998</v>
      </c>
      <c r="S12" s="4">
        <v>5034.7272990000001</v>
      </c>
      <c r="T12" s="4">
        <v>726.64651900000001</v>
      </c>
      <c r="U12" s="4">
        <v>9.8933931000000003E-2</v>
      </c>
      <c r="V12" s="4">
        <v>3.3382859000000001E-2</v>
      </c>
      <c r="W12" s="4">
        <v>9498.4969469999996</v>
      </c>
      <c r="X12" s="4">
        <v>2493.2892510000001</v>
      </c>
      <c r="Y12" s="4">
        <v>1083.466473</v>
      </c>
      <c r="Z12" s="4">
        <v>746.57439939999995</v>
      </c>
      <c r="AA12" s="4">
        <v>13012.40057</v>
      </c>
      <c r="AB12" s="4">
        <v>8689.0016869999999</v>
      </c>
      <c r="AC12" s="4">
        <v>0.65001203534502261</v>
      </c>
      <c r="AD12" s="4">
        <v>0.15511456729599177</v>
      </c>
      <c r="AE12" s="4">
        <v>0.34998796465497739</v>
      </c>
      <c r="AF12" s="4">
        <v>0.15511456729599177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91AB-631D-9E42-99AB-575B0C8D8293}">
  <dimension ref="A1:AF17"/>
  <sheetViews>
    <sheetView workbookViewId="0">
      <selection activeCell="A2" sqref="A2:XFD5"/>
    </sheetView>
  </sheetViews>
  <sheetFormatPr baseColWidth="10" defaultRowHeight="16" x14ac:dyDescent="0.2"/>
  <cols>
    <col min="2" max="2" width="17.5" bestFit="1" customWidth="1"/>
  </cols>
  <sheetData>
    <row r="1" spans="1:32" x14ac:dyDescent="0.2">
      <c r="A1" s="4"/>
      <c r="B1" s="2" t="s">
        <v>14</v>
      </c>
      <c r="C1" s="2" t="s">
        <v>38</v>
      </c>
      <c r="D1" s="2" t="s">
        <v>35</v>
      </c>
      <c r="E1" s="1" t="s">
        <v>54</v>
      </c>
      <c r="F1" s="1" t="s">
        <v>55</v>
      </c>
      <c r="G1" s="1" t="s">
        <v>56</v>
      </c>
      <c r="H1" s="1" t="s">
        <v>79</v>
      </c>
      <c r="I1" s="1" t="s">
        <v>57</v>
      </c>
      <c r="J1" s="1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72</v>
      </c>
      <c r="R1" s="3" t="s">
        <v>73</v>
      </c>
      <c r="S1" s="3" t="s">
        <v>67</v>
      </c>
      <c r="T1" s="3" t="s">
        <v>74</v>
      </c>
      <c r="U1" s="3" t="s">
        <v>68</v>
      </c>
      <c r="V1" s="8" t="s">
        <v>75</v>
      </c>
      <c r="W1" s="3" t="s">
        <v>69</v>
      </c>
      <c r="X1" s="3" t="s">
        <v>76</v>
      </c>
      <c r="Y1" s="3" t="s">
        <v>70</v>
      </c>
      <c r="Z1" s="8" t="s">
        <v>77</v>
      </c>
      <c r="AA1" s="3" t="s">
        <v>71</v>
      </c>
      <c r="AB1" s="3" t="s">
        <v>78</v>
      </c>
      <c r="AC1" s="3" t="s">
        <v>80</v>
      </c>
      <c r="AD1" s="3" t="s">
        <v>81</v>
      </c>
      <c r="AE1" s="3" t="s">
        <v>82</v>
      </c>
      <c r="AF1" s="3" t="s">
        <v>83</v>
      </c>
    </row>
    <row r="2" spans="1:32" x14ac:dyDescent="0.2">
      <c r="A2" s="2" t="s">
        <v>0</v>
      </c>
      <c r="B2" s="4" t="s">
        <v>15</v>
      </c>
      <c r="C2" s="4" t="s">
        <v>39</v>
      </c>
      <c r="D2" s="4">
        <v>8.4</v>
      </c>
      <c r="E2" s="4">
        <v>0.99933595799999997</v>
      </c>
      <c r="F2" s="4">
        <v>1.2147299999999999E-4</v>
      </c>
      <c r="G2" s="4">
        <v>4.8800100000000001E-4</v>
      </c>
      <c r="H2" s="4">
        <v>1.20369E-4</v>
      </c>
      <c r="I2" s="4">
        <v>1.7604E-4</v>
      </c>
      <c r="J2" s="4">
        <v>1.6341000000000002E-5</v>
      </c>
      <c r="K2" s="4">
        <v>649.63486569999998</v>
      </c>
      <c r="L2" s="4">
        <v>323.48515400000002</v>
      </c>
      <c r="M2" s="4">
        <v>11083.93058</v>
      </c>
      <c r="N2" s="4">
        <v>1565.7757360000001</v>
      </c>
      <c r="O2" s="4">
        <v>6055.0173759999998</v>
      </c>
      <c r="P2" s="4">
        <v>1707.2273130000001</v>
      </c>
      <c r="Q2" s="6">
        <v>0.31707843899999999</v>
      </c>
      <c r="R2" s="6">
        <v>0.17618097999999999</v>
      </c>
      <c r="S2" s="6">
        <v>649.31778729999996</v>
      </c>
      <c r="T2" s="6">
        <v>323.32727449999999</v>
      </c>
      <c r="U2" s="6">
        <v>1.952172362</v>
      </c>
      <c r="V2" s="6">
        <v>0.32996591800000002</v>
      </c>
      <c r="W2" s="6">
        <v>11081.97841</v>
      </c>
      <c r="X2" s="6">
        <v>1565.4999720000001</v>
      </c>
      <c r="Y2" s="6">
        <v>1605.2121830000001</v>
      </c>
      <c r="Z2" s="6">
        <v>549.08760199999995</v>
      </c>
      <c r="AA2" s="6">
        <v>4449.8051930000001</v>
      </c>
      <c r="AB2" s="6">
        <v>1292.5795909999999</v>
      </c>
      <c r="AC2" s="6">
        <v>0.693783382</v>
      </c>
      <c r="AD2" s="6">
        <v>5.9334233E-2</v>
      </c>
      <c r="AE2" s="6">
        <v>0.306216618</v>
      </c>
      <c r="AF2" s="6">
        <v>5.9334233E-2</v>
      </c>
    </row>
    <row r="3" spans="1:32" x14ac:dyDescent="0.2">
      <c r="A3" s="2" t="s">
        <v>1</v>
      </c>
      <c r="B3" s="4" t="s">
        <v>15</v>
      </c>
      <c r="C3" s="4" t="s">
        <v>39</v>
      </c>
      <c r="D3" s="4">
        <v>8.8000000000000007</v>
      </c>
      <c r="E3" s="4">
        <v>0.99814020699999995</v>
      </c>
      <c r="F3" s="4">
        <v>1.8722899999999999E-4</v>
      </c>
      <c r="G3" s="4">
        <v>1.0863610000000001E-3</v>
      </c>
      <c r="H3" s="4">
        <v>1.8702599999999999E-4</v>
      </c>
      <c r="I3" s="4">
        <v>7.73432E-4</v>
      </c>
      <c r="J3" s="4">
        <v>8.7176499999999995E-6</v>
      </c>
      <c r="K3" s="4">
        <v>1113.450229</v>
      </c>
      <c r="L3" s="4">
        <v>219.16254330000001</v>
      </c>
      <c r="M3" s="4">
        <v>10038.76209</v>
      </c>
      <c r="N3" s="4">
        <v>255.91610800000001</v>
      </c>
      <c r="O3" s="4">
        <v>0</v>
      </c>
      <c r="P3" s="4">
        <v>0</v>
      </c>
      <c r="Q3" s="6">
        <v>1.2105450149999999</v>
      </c>
      <c r="R3" s="6">
        <v>0.31640598800000003</v>
      </c>
      <c r="S3" s="6">
        <v>1112.2396839999999</v>
      </c>
      <c r="T3" s="6">
        <v>218.92436839999999</v>
      </c>
      <c r="U3" s="6">
        <v>7.7727427799999997</v>
      </c>
      <c r="V3" s="6">
        <v>0.216630296</v>
      </c>
      <c r="W3" s="6">
        <v>10030.98935</v>
      </c>
      <c r="X3" s="6">
        <v>255.717974</v>
      </c>
      <c r="Y3" s="6">
        <v>0</v>
      </c>
      <c r="Z3" s="6">
        <v>0</v>
      </c>
      <c r="AA3" s="6">
        <v>0</v>
      </c>
      <c r="AB3" s="6">
        <v>0</v>
      </c>
      <c r="AC3" s="6">
        <v>0.66726993700000004</v>
      </c>
      <c r="AD3" s="6">
        <v>5.6979546999999998E-2</v>
      </c>
      <c r="AE3" s="6">
        <v>0.33273006300000002</v>
      </c>
      <c r="AF3" s="6">
        <v>5.6979546999999998E-2</v>
      </c>
    </row>
    <row r="4" spans="1:32" x14ac:dyDescent="0.2">
      <c r="A4" s="2" t="s">
        <v>2</v>
      </c>
      <c r="B4" s="4" t="s">
        <v>15</v>
      </c>
      <c r="C4" s="4" t="s">
        <v>39</v>
      </c>
      <c r="D4" s="4">
        <v>9.1</v>
      </c>
      <c r="E4" s="4">
        <v>0.99785837700000002</v>
      </c>
      <c r="F4" s="4">
        <v>7.9671400000000004E-5</v>
      </c>
      <c r="G4" s="4">
        <v>7.4418900000000003E-4</v>
      </c>
      <c r="H4" s="4">
        <v>7.9165299999999999E-5</v>
      </c>
      <c r="I4" s="4">
        <v>1.3974339999999999E-3</v>
      </c>
      <c r="J4" s="4">
        <v>8.9657800000000001E-6</v>
      </c>
      <c r="K4" s="4">
        <v>1503.422241</v>
      </c>
      <c r="L4" s="4">
        <v>190.39977709999999</v>
      </c>
      <c r="M4" s="4">
        <v>9988.5629069999995</v>
      </c>
      <c r="N4" s="4">
        <v>139.6564036</v>
      </c>
      <c r="O4" s="4">
        <v>0</v>
      </c>
      <c r="P4" s="4">
        <v>0</v>
      </c>
      <c r="Q4" s="6">
        <v>1.120396119</v>
      </c>
      <c r="R4" s="6">
        <v>0.185249206</v>
      </c>
      <c r="S4" s="6">
        <v>1502.301845</v>
      </c>
      <c r="T4" s="6">
        <v>190.2579226</v>
      </c>
      <c r="U4" s="6">
        <v>13.968752009999999</v>
      </c>
      <c r="V4" s="6">
        <v>0.214837851</v>
      </c>
      <c r="W4" s="6">
        <v>9974.5941550000007</v>
      </c>
      <c r="X4" s="6">
        <v>139.46112629999999</v>
      </c>
      <c r="Y4" s="6">
        <v>0</v>
      </c>
      <c r="Z4" s="6">
        <v>0</v>
      </c>
      <c r="AA4" s="6">
        <v>0</v>
      </c>
      <c r="AB4" s="6">
        <v>0</v>
      </c>
      <c r="AC4" s="6">
        <v>0.653889477</v>
      </c>
      <c r="AD4" s="6">
        <v>5.663588E-2</v>
      </c>
      <c r="AE4" s="6">
        <v>0.346110523</v>
      </c>
      <c r="AF4" s="6">
        <v>5.663588E-2</v>
      </c>
    </row>
    <row r="5" spans="1:32" x14ac:dyDescent="0.2">
      <c r="A5" s="2" t="s">
        <v>3</v>
      </c>
      <c r="B5" s="4" t="s">
        <v>15</v>
      </c>
      <c r="C5" s="4" t="s">
        <v>39</v>
      </c>
      <c r="D5" s="4">
        <v>9.3000000000000007</v>
      </c>
      <c r="E5" s="4">
        <v>0.99641411499999999</v>
      </c>
      <c r="F5" s="4">
        <v>1.12645E-4</v>
      </c>
      <c r="G5" s="4">
        <v>6.9996700000000002E-4</v>
      </c>
      <c r="H5" s="4">
        <v>1.11248E-4</v>
      </c>
      <c r="I5" s="4">
        <v>2.8859179999999999E-3</v>
      </c>
      <c r="J5" s="4">
        <v>1.7684099999999999E-5</v>
      </c>
      <c r="K5" s="4">
        <v>1523.4666139999999</v>
      </c>
      <c r="L5" s="4">
        <v>282.2665753</v>
      </c>
      <c r="M5" s="4">
        <v>9806.9556389999998</v>
      </c>
      <c r="N5" s="4">
        <v>133.93053320000001</v>
      </c>
      <c r="O5" s="4">
        <v>0</v>
      </c>
      <c r="P5" s="4">
        <v>0</v>
      </c>
      <c r="Q5" s="6">
        <v>1.0694627430000001</v>
      </c>
      <c r="R5" s="6">
        <v>0.26098552800000002</v>
      </c>
      <c r="S5" s="6">
        <v>1522.3971509999999</v>
      </c>
      <c r="T5" s="6">
        <v>282.06847729999998</v>
      </c>
      <c r="U5" s="6">
        <v>28.321897870000001</v>
      </c>
      <c r="V5" s="6">
        <v>0.42374157499999998</v>
      </c>
      <c r="W5" s="6">
        <v>9778.6337409999996</v>
      </c>
      <c r="X5" s="6">
        <v>133.54386199999999</v>
      </c>
      <c r="Y5" s="6">
        <v>0</v>
      </c>
      <c r="Z5" s="6">
        <v>0</v>
      </c>
      <c r="AA5" s="6">
        <v>0</v>
      </c>
      <c r="AB5" s="6">
        <v>0</v>
      </c>
      <c r="AC5" s="6">
        <v>0.67296448799999997</v>
      </c>
      <c r="AD5" s="6">
        <v>5.7472729E-2</v>
      </c>
      <c r="AE5" s="6">
        <v>0.32703551199999997</v>
      </c>
      <c r="AF5" s="6">
        <v>5.7472729E-2</v>
      </c>
    </row>
    <row r="6" spans="1:32" x14ac:dyDescent="0.2">
      <c r="A6" s="2" t="s">
        <v>4</v>
      </c>
      <c r="B6" s="4" t="s">
        <v>16</v>
      </c>
      <c r="C6" s="4" t="s">
        <v>39</v>
      </c>
      <c r="D6" s="4">
        <v>8</v>
      </c>
      <c r="E6" s="4">
        <v>0.99536686100000005</v>
      </c>
      <c r="F6" s="4">
        <v>7.6962299999999999E-4</v>
      </c>
      <c r="G6" s="4">
        <v>2.3676050000000001E-3</v>
      </c>
      <c r="H6" s="4">
        <v>1.0624300000000001E-4</v>
      </c>
      <c r="I6" s="4">
        <v>2.265534E-3</v>
      </c>
      <c r="J6" s="4">
        <v>7.6225499999999999E-4</v>
      </c>
      <c r="K6" s="4">
        <v>1305.789207</v>
      </c>
      <c r="L6" s="4">
        <v>68.154274099999995</v>
      </c>
      <c r="M6" s="4">
        <v>54403.20811</v>
      </c>
      <c r="N6" s="4">
        <v>7794.527126</v>
      </c>
      <c r="O6" s="4">
        <v>0</v>
      </c>
      <c r="P6" s="4">
        <v>0</v>
      </c>
      <c r="Q6" s="6">
        <v>3.0986125709999999</v>
      </c>
      <c r="R6" s="6">
        <v>0.21308211199999999</v>
      </c>
      <c r="S6" s="6">
        <v>1302.6905939999999</v>
      </c>
      <c r="T6" s="6">
        <v>67.99268687</v>
      </c>
      <c r="U6" s="6">
        <v>123.5448224</v>
      </c>
      <c r="V6" s="6">
        <v>45.09261661</v>
      </c>
      <c r="W6" s="6">
        <v>54279.663289999997</v>
      </c>
      <c r="X6" s="6">
        <v>7776.937038</v>
      </c>
      <c r="Y6" s="6">
        <v>0</v>
      </c>
      <c r="Z6" s="6">
        <v>0</v>
      </c>
      <c r="AA6" s="6">
        <v>0</v>
      </c>
      <c r="AB6" s="6">
        <v>0</v>
      </c>
      <c r="AC6" s="6">
        <v>0.83676968699999998</v>
      </c>
      <c r="AD6" s="6">
        <v>6.4547739000000007E-2</v>
      </c>
      <c r="AE6" s="6">
        <v>0.16323031299999999</v>
      </c>
      <c r="AF6" s="6">
        <v>6.4547739000000007E-2</v>
      </c>
    </row>
    <row r="7" spans="1:32" x14ac:dyDescent="0.2">
      <c r="A7" s="2" t="s">
        <v>5</v>
      </c>
      <c r="B7" s="4" t="s">
        <v>17</v>
      </c>
      <c r="C7" s="4" t="s">
        <v>39</v>
      </c>
      <c r="D7" s="4">
        <v>8</v>
      </c>
      <c r="E7" s="4">
        <v>0.99854746699999997</v>
      </c>
      <c r="F7" s="4">
        <v>5.90289E-5</v>
      </c>
      <c r="G7" s="4">
        <v>6.8831299999999997E-4</v>
      </c>
      <c r="H7" s="4">
        <v>1.7345799999999999E-5</v>
      </c>
      <c r="I7" s="4">
        <v>7.6422000000000003E-4</v>
      </c>
      <c r="J7" s="4">
        <v>5.6422799999999998E-5</v>
      </c>
      <c r="K7" s="4">
        <v>2511.444086</v>
      </c>
      <c r="L7" s="4">
        <v>116.2050804</v>
      </c>
      <c r="M7" s="4">
        <v>1480.2208410000001</v>
      </c>
      <c r="N7" s="4">
        <v>149.29950640000001</v>
      </c>
      <c r="O7" s="4">
        <v>1807.8083670000001</v>
      </c>
      <c r="P7" s="4">
        <v>146.68979100000001</v>
      </c>
      <c r="Q7" s="6">
        <v>1.729981384</v>
      </c>
      <c r="R7" s="6">
        <v>9.1134457000000002E-2</v>
      </c>
      <c r="S7" s="6">
        <v>2509.714105</v>
      </c>
      <c r="T7" s="6">
        <v>116.12504199999999</v>
      </c>
      <c r="U7" s="6">
        <v>1.131993225</v>
      </c>
      <c r="V7" s="6">
        <v>0.141458267</v>
      </c>
      <c r="W7" s="6">
        <v>1479.0888480000001</v>
      </c>
      <c r="X7" s="6">
        <v>149.18535360000001</v>
      </c>
      <c r="Y7" s="6">
        <v>951.14069689999997</v>
      </c>
      <c r="Z7" s="6">
        <v>84.810160089999997</v>
      </c>
      <c r="AA7" s="6">
        <v>856.66767030000005</v>
      </c>
      <c r="AB7" s="6">
        <v>77.899128640000001</v>
      </c>
      <c r="AC7" s="6">
        <v>0.71497185900000004</v>
      </c>
      <c r="AD7" s="6">
        <v>5.8616456999999997E-2</v>
      </c>
      <c r="AE7" s="6">
        <v>0.28502814100000001</v>
      </c>
      <c r="AF7" s="6">
        <v>5.8616456999999997E-2</v>
      </c>
    </row>
    <row r="8" spans="1:32" x14ac:dyDescent="0.2">
      <c r="A8" s="2" t="s">
        <v>6</v>
      </c>
      <c r="B8" s="4" t="s">
        <v>17</v>
      </c>
      <c r="C8" s="4" t="s">
        <v>39</v>
      </c>
      <c r="D8" s="4">
        <v>8.4</v>
      </c>
      <c r="E8" s="4">
        <v>0.997082515</v>
      </c>
      <c r="F8" s="4">
        <v>1.2493000000000001E-4</v>
      </c>
      <c r="G8" s="4">
        <v>5.6844600000000001E-4</v>
      </c>
      <c r="H8" s="4">
        <v>1.2803600000000001E-5</v>
      </c>
      <c r="I8" s="4">
        <v>2.3490389999999998E-3</v>
      </c>
      <c r="J8" s="4">
        <v>1.2427299999999999E-4</v>
      </c>
      <c r="K8" s="4">
        <v>2674.063173</v>
      </c>
      <c r="L8" s="4">
        <v>158.0937667</v>
      </c>
      <c r="M8" s="4">
        <v>1461.49479</v>
      </c>
      <c r="N8" s="4">
        <v>89.400708300000005</v>
      </c>
      <c r="O8" s="4">
        <v>1437.9117200000001</v>
      </c>
      <c r="P8" s="4">
        <v>90.959247529999999</v>
      </c>
      <c r="Q8" s="6">
        <v>1.5236387650000001</v>
      </c>
      <c r="R8" s="6">
        <v>9.6388403999999997E-2</v>
      </c>
      <c r="S8" s="6">
        <v>2672.5395349999999</v>
      </c>
      <c r="T8" s="6">
        <v>158.0036911</v>
      </c>
      <c r="U8" s="6">
        <v>3.4350611139999998</v>
      </c>
      <c r="V8" s="6">
        <v>0.27752914099999998</v>
      </c>
      <c r="W8" s="6">
        <v>1458.0597290000001</v>
      </c>
      <c r="X8" s="6">
        <v>89.190767359999995</v>
      </c>
      <c r="Y8" s="6">
        <v>1157.74755</v>
      </c>
      <c r="Z8" s="6">
        <v>74.376332750000003</v>
      </c>
      <c r="AA8" s="6">
        <v>280.16416989999999</v>
      </c>
      <c r="AB8" s="6">
        <v>21.96181559</v>
      </c>
      <c r="AC8" s="6">
        <v>0.71101163700000003</v>
      </c>
      <c r="AD8" s="6">
        <v>5.8573354000000001E-2</v>
      </c>
      <c r="AE8" s="6">
        <v>0.28898836300000003</v>
      </c>
      <c r="AF8" s="6">
        <v>5.8573354000000001E-2</v>
      </c>
    </row>
    <row r="9" spans="1:32" x14ac:dyDescent="0.2">
      <c r="A9" s="2" t="s">
        <v>7</v>
      </c>
      <c r="B9" s="4" t="s">
        <v>18</v>
      </c>
      <c r="C9" s="4" t="s">
        <v>39</v>
      </c>
      <c r="D9" s="4">
        <v>8</v>
      </c>
      <c r="E9" s="4">
        <v>0.99698069499999997</v>
      </c>
      <c r="F9" s="4">
        <v>3.70713E-4</v>
      </c>
      <c r="G9" s="4">
        <v>2.2285650000000001E-3</v>
      </c>
      <c r="H9" s="4">
        <v>2.18963E-4</v>
      </c>
      <c r="I9" s="4">
        <v>7.9073999999999995E-4</v>
      </c>
      <c r="J9" s="4">
        <v>2.9913699999999999E-4</v>
      </c>
      <c r="K9" s="4">
        <v>721.29618210000001</v>
      </c>
      <c r="L9" s="4">
        <v>81.976375750000003</v>
      </c>
      <c r="M9" s="4">
        <v>45767.934800000003</v>
      </c>
      <c r="N9" s="4">
        <v>9746.1953059999996</v>
      </c>
      <c r="O9" s="4">
        <v>0</v>
      </c>
      <c r="P9" s="4">
        <v>0</v>
      </c>
      <c r="Q9" s="6">
        <v>1.608727867</v>
      </c>
      <c r="R9" s="6">
        <v>0.241456214</v>
      </c>
      <c r="S9" s="6">
        <v>719.68745430000001</v>
      </c>
      <c r="T9" s="6">
        <v>81.793693489999995</v>
      </c>
      <c r="U9" s="6">
        <v>36.271358839999998</v>
      </c>
      <c r="V9" s="6">
        <v>15.736559590000001</v>
      </c>
      <c r="W9" s="6">
        <v>45731.663439999997</v>
      </c>
      <c r="X9" s="6">
        <v>9738.4810400000006</v>
      </c>
      <c r="Y9" s="6">
        <v>0</v>
      </c>
      <c r="Z9" s="6">
        <v>0</v>
      </c>
      <c r="AA9" s="6">
        <v>0</v>
      </c>
      <c r="AB9" s="6">
        <v>0</v>
      </c>
      <c r="AC9" s="6">
        <v>0.74186914100000001</v>
      </c>
      <c r="AD9" s="6">
        <v>5.9724740999999998E-2</v>
      </c>
      <c r="AE9" s="6">
        <v>0.25813085899999999</v>
      </c>
      <c r="AF9" s="6">
        <v>5.9724740999999998E-2</v>
      </c>
    </row>
    <row r="10" spans="1:32" x14ac:dyDescent="0.2">
      <c r="A10" s="2" t="s">
        <v>8</v>
      </c>
      <c r="B10" s="4" t="s">
        <v>19</v>
      </c>
      <c r="C10" s="4" t="s">
        <v>39</v>
      </c>
      <c r="D10" s="4">
        <v>8.8699999999999992</v>
      </c>
      <c r="E10" s="4">
        <v>0.99816449799999996</v>
      </c>
      <c r="F10" s="4">
        <v>1.51466E-4</v>
      </c>
      <c r="G10" s="4">
        <v>1.2179179999999999E-3</v>
      </c>
      <c r="H10" s="4">
        <v>1.3967800000000001E-4</v>
      </c>
      <c r="I10" s="4">
        <v>6.1758400000000001E-4</v>
      </c>
      <c r="J10" s="4">
        <v>5.8585100000000003E-5</v>
      </c>
      <c r="K10" s="4">
        <v>540.00050060000001</v>
      </c>
      <c r="L10" s="4">
        <v>67.807481089999996</v>
      </c>
      <c r="M10" s="4">
        <v>40014.168740000001</v>
      </c>
      <c r="N10" s="4">
        <v>2262.9577949999998</v>
      </c>
      <c r="O10" s="4">
        <v>0</v>
      </c>
      <c r="P10" s="4">
        <v>0</v>
      </c>
      <c r="Q10" s="6">
        <v>0.65808282100000004</v>
      </c>
      <c r="R10" s="6">
        <v>0.11185161</v>
      </c>
      <c r="S10" s="6">
        <v>539.34241770000006</v>
      </c>
      <c r="T10" s="6">
        <v>67.724888039999996</v>
      </c>
      <c r="U10" s="6">
        <v>24.74223323</v>
      </c>
      <c r="V10" s="6">
        <v>2.7313014990000002</v>
      </c>
      <c r="W10" s="6">
        <v>39989.426509999998</v>
      </c>
      <c r="X10" s="6">
        <v>2261.559741</v>
      </c>
      <c r="Y10" s="6">
        <v>0</v>
      </c>
      <c r="Z10" s="6">
        <v>0</v>
      </c>
      <c r="AA10" s="6">
        <v>0</v>
      </c>
      <c r="AB10" s="6">
        <v>0</v>
      </c>
      <c r="AC10" s="6">
        <v>0.76058606900000003</v>
      </c>
      <c r="AD10" s="6">
        <v>6.0618742000000003E-2</v>
      </c>
      <c r="AE10" s="6">
        <v>0.239413931</v>
      </c>
      <c r="AF10" s="6">
        <v>6.0618742000000003E-2</v>
      </c>
    </row>
    <row r="11" spans="1:32" x14ac:dyDescent="0.2">
      <c r="A11" s="2" t="s">
        <v>9</v>
      </c>
      <c r="B11" s="4" t="s">
        <v>20</v>
      </c>
      <c r="C11" s="4" t="s">
        <v>41</v>
      </c>
      <c r="D11" s="4">
        <v>7.9</v>
      </c>
      <c r="E11" s="4">
        <v>0.99833809299999998</v>
      </c>
      <c r="F11" s="4">
        <v>8.2778300000000007E-5</v>
      </c>
      <c r="G11" s="4">
        <v>8.9058900000000001E-4</v>
      </c>
      <c r="H11" s="4">
        <v>3.8968999999999999E-5</v>
      </c>
      <c r="I11" s="4">
        <v>7.7131900000000002E-4</v>
      </c>
      <c r="J11" s="4">
        <v>7.3031899999999994E-5</v>
      </c>
      <c r="K11" s="4">
        <v>4574.1241069999996</v>
      </c>
      <c r="L11" s="4">
        <v>224.8775995</v>
      </c>
      <c r="M11" s="4">
        <v>707.72889889999999</v>
      </c>
      <c r="N11" s="4">
        <v>243.05959770000001</v>
      </c>
      <c r="O11" s="4">
        <v>7246.9316419999996</v>
      </c>
      <c r="P11" s="4">
        <v>924.93338310000001</v>
      </c>
      <c r="Q11" s="6">
        <v>4.0768076579999999</v>
      </c>
      <c r="R11" s="6">
        <v>0.26820997699999999</v>
      </c>
      <c r="S11" s="6">
        <v>4570.0473000000002</v>
      </c>
      <c r="T11" s="6">
        <v>224.6772421</v>
      </c>
      <c r="U11" s="6">
        <v>0.54637113500000001</v>
      </c>
      <c r="V11" s="6">
        <v>0.194633639</v>
      </c>
      <c r="W11" s="6">
        <v>707.18252770000004</v>
      </c>
      <c r="X11" s="6">
        <v>242.8719596</v>
      </c>
      <c r="Y11" s="6">
        <v>3363.4208600000002</v>
      </c>
      <c r="Z11" s="6">
        <v>468.639768</v>
      </c>
      <c r="AA11" s="6">
        <v>3883.510781</v>
      </c>
      <c r="AB11" s="6">
        <v>530.11315190000005</v>
      </c>
      <c r="AC11" s="6">
        <v>0.52169571699999995</v>
      </c>
      <c r="AD11" s="6">
        <v>5.5644718000000003E-2</v>
      </c>
      <c r="AE11" s="6">
        <v>0.478304283</v>
      </c>
      <c r="AF11" s="6">
        <v>5.5644718000000003E-2</v>
      </c>
    </row>
    <row r="12" spans="1:32" x14ac:dyDescent="0.2">
      <c r="A12" s="2" t="s">
        <v>10</v>
      </c>
      <c r="B12" s="4" t="s">
        <v>20</v>
      </c>
      <c r="C12" s="4" t="s">
        <v>41</v>
      </c>
      <c r="D12" s="4">
        <v>8.4</v>
      </c>
      <c r="E12" s="4">
        <v>0.99666580400000004</v>
      </c>
      <c r="F12" s="4">
        <v>3.6183500000000002E-4</v>
      </c>
      <c r="G12" s="4">
        <v>8.3997399999999995E-4</v>
      </c>
      <c r="H12" s="4">
        <v>4.5105100000000003E-5</v>
      </c>
      <c r="I12" s="4">
        <v>2.4942219999999999E-3</v>
      </c>
      <c r="J12" s="4">
        <v>3.5901299999999999E-4</v>
      </c>
      <c r="K12" s="4">
        <v>4927.7640080000001</v>
      </c>
      <c r="L12" s="4">
        <v>280.08912479999998</v>
      </c>
      <c r="M12" s="4">
        <v>982.90991169999995</v>
      </c>
      <c r="N12" s="4">
        <v>197.28731139999999</v>
      </c>
      <c r="O12" s="4">
        <v>4850.5688909999999</v>
      </c>
      <c r="P12" s="4">
        <v>503.27452510000001</v>
      </c>
      <c r="Q12" s="6">
        <v>4.1495446889999998</v>
      </c>
      <c r="R12" s="6">
        <v>0.32434046399999999</v>
      </c>
      <c r="S12" s="6">
        <v>4923.6144629999999</v>
      </c>
      <c r="T12" s="6">
        <v>279.85335739999999</v>
      </c>
      <c r="U12" s="6">
        <v>2.4536566880000001</v>
      </c>
      <c r="V12" s="6">
        <v>0.60552396100000005</v>
      </c>
      <c r="W12" s="6">
        <v>980.45625500000006</v>
      </c>
      <c r="X12" s="6">
        <v>196.79513470000001</v>
      </c>
      <c r="Y12" s="6">
        <v>3628.5794169999999</v>
      </c>
      <c r="Z12" s="6">
        <v>401.8262929</v>
      </c>
      <c r="AA12" s="6">
        <v>1221.9894730000001</v>
      </c>
      <c r="AB12" s="6">
        <v>189.20340529999999</v>
      </c>
      <c r="AC12" s="6">
        <v>0.48514984999999999</v>
      </c>
      <c r="AD12" s="6">
        <v>5.6497251999999998E-2</v>
      </c>
      <c r="AE12" s="6">
        <v>0.51485015000000001</v>
      </c>
      <c r="AF12" s="6">
        <v>5.6497251999999998E-2</v>
      </c>
    </row>
    <row r="13" spans="1:32" x14ac:dyDescent="0.2">
      <c r="A13" s="2" t="s">
        <v>11</v>
      </c>
      <c r="B13" s="4" t="s">
        <v>21</v>
      </c>
      <c r="C13" s="4" t="s">
        <v>41</v>
      </c>
      <c r="D13" s="4">
        <v>7.8</v>
      </c>
      <c r="E13" s="4">
        <v>0.99821439899999997</v>
      </c>
      <c r="F13" s="4">
        <v>1.2571899999999999E-4</v>
      </c>
      <c r="G13" s="4">
        <v>9.55626E-4</v>
      </c>
      <c r="H13" s="4">
        <v>8.8346199999999998E-5</v>
      </c>
      <c r="I13" s="4">
        <v>8.2997400000000003E-4</v>
      </c>
      <c r="J13" s="4">
        <v>8.9443600000000005E-5</v>
      </c>
      <c r="K13" s="4">
        <v>3129.7248709999999</v>
      </c>
      <c r="L13" s="4">
        <v>650.02839500000005</v>
      </c>
      <c r="M13" s="4">
        <v>10050.61404</v>
      </c>
      <c r="N13" s="4">
        <v>664.19621510000002</v>
      </c>
      <c r="O13" s="4">
        <v>2102.3095920000001</v>
      </c>
      <c r="P13" s="4">
        <v>1684.6900290000001</v>
      </c>
      <c r="Q13" s="6">
        <v>2.9933322790000001</v>
      </c>
      <c r="R13" s="6">
        <v>0.68039979900000003</v>
      </c>
      <c r="S13" s="6">
        <v>3126.7315389999999</v>
      </c>
      <c r="T13" s="6">
        <v>649.40675350000004</v>
      </c>
      <c r="U13" s="6">
        <v>8.349728958</v>
      </c>
      <c r="V13" s="6">
        <v>1.0548999450000001</v>
      </c>
      <c r="W13" s="6">
        <v>10042.26431</v>
      </c>
      <c r="X13" s="6">
        <v>663.64503109999998</v>
      </c>
      <c r="Y13" s="6">
        <v>977.18526589999999</v>
      </c>
      <c r="Z13" s="6">
        <v>786.58221279999998</v>
      </c>
      <c r="AA13" s="6">
        <v>1125.1243260000001</v>
      </c>
      <c r="AB13" s="6">
        <v>904.67326130000004</v>
      </c>
      <c r="AC13" s="6">
        <v>0.50073189299999998</v>
      </c>
      <c r="AD13" s="6">
        <v>5.7150227999999997E-2</v>
      </c>
      <c r="AE13" s="6">
        <v>0.49926810700000002</v>
      </c>
      <c r="AF13" s="6">
        <v>5.7150227999999997E-2</v>
      </c>
    </row>
    <row r="14" spans="1:32" x14ac:dyDescent="0.2">
      <c r="A14" s="2" t="s">
        <v>12</v>
      </c>
      <c r="B14" s="4" t="s">
        <v>22</v>
      </c>
      <c r="C14" s="4" t="s">
        <v>41</v>
      </c>
      <c r="D14" s="4">
        <v>7.8</v>
      </c>
      <c r="E14" s="4">
        <v>0.99622959300000002</v>
      </c>
      <c r="F14" s="4">
        <v>1.848471E-3</v>
      </c>
      <c r="G14" s="4">
        <v>3.2007530000000002E-3</v>
      </c>
      <c r="H14" s="4">
        <v>1.818865E-3</v>
      </c>
      <c r="I14" s="4">
        <v>5.6965399999999995E-4</v>
      </c>
      <c r="J14" s="4">
        <v>3.29511E-4</v>
      </c>
      <c r="K14" s="4">
        <v>21235.298999999999</v>
      </c>
      <c r="L14" s="4">
        <v>6066.3150580000001</v>
      </c>
      <c r="M14" s="4">
        <v>3469.3273760000002</v>
      </c>
      <c r="N14" s="4">
        <v>4255.3987580000003</v>
      </c>
      <c r="O14" s="4">
        <v>0</v>
      </c>
      <c r="P14" s="4">
        <v>0</v>
      </c>
      <c r="Q14" s="6">
        <v>68.007685019999997</v>
      </c>
      <c r="R14" s="6">
        <v>43.144302850000003</v>
      </c>
      <c r="S14" s="6">
        <v>21167.291310000001</v>
      </c>
      <c r="T14" s="6">
        <v>6047.0099220000002</v>
      </c>
      <c r="U14" s="6">
        <v>1.9826612530000001</v>
      </c>
      <c r="V14" s="6">
        <v>2.6884670559999999</v>
      </c>
      <c r="W14" s="6">
        <v>3467.3447150000002</v>
      </c>
      <c r="X14" s="6">
        <v>4252.9670249999999</v>
      </c>
      <c r="Y14" s="6">
        <v>0</v>
      </c>
      <c r="Z14" s="6">
        <v>0</v>
      </c>
      <c r="AA14" s="6">
        <v>0</v>
      </c>
      <c r="AB14" s="6">
        <v>0</v>
      </c>
      <c r="AC14" s="6">
        <v>0.54442007000000003</v>
      </c>
      <c r="AD14" s="6">
        <v>0.104040778</v>
      </c>
      <c r="AE14" s="6">
        <v>0.45557993000000002</v>
      </c>
      <c r="AF14" s="6">
        <v>0.104040778</v>
      </c>
    </row>
    <row r="15" spans="1:32" x14ac:dyDescent="0.2">
      <c r="A15" s="2" t="s">
        <v>13</v>
      </c>
      <c r="B15" s="4" t="s">
        <v>23</v>
      </c>
      <c r="C15" s="4" t="s">
        <v>66</v>
      </c>
      <c r="D15" s="4">
        <v>6.9</v>
      </c>
      <c r="E15" s="4">
        <v>0.99724523693</v>
      </c>
      <c r="F15" s="4">
        <v>5.3438806298000002E-4</v>
      </c>
      <c r="G15" s="4">
        <v>3.6049615479099998E-4</v>
      </c>
      <c r="H15" s="4">
        <v>1.22777807146E-5</v>
      </c>
      <c r="I15" s="4">
        <v>2.3942669147500001E-3</v>
      </c>
      <c r="J15" s="4">
        <v>5.34247000886E-4</v>
      </c>
      <c r="K15" s="4">
        <v>12977.0547341</v>
      </c>
      <c r="L15" s="4">
        <v>971.75764370299999</v>
      </c>
      <c r="M15" s="4">
        <v>3975.0992099099999</v>
      </c>
      <c r="N15" s="4">
        <v>308.17183894300001</v>
      </c>
      <c r="O15" s="4">
        <v>0</v>
      </c>
      <c r="P15" s="4">
        <v>0</v>
      </c>
      <c r="Q15" s="6">
        <v>4.68940602185</v>
      </c>
      <c r="R15" s="6">
        <v>0.38575385788099997</v>
      </c>
      <c r="S15" s="6">
        <v>12972.365328100001</v>
      </c>
      <c r="T15" s="6">
        <v>971.40650117200005</v>
      </c>
      <c r="U15" s="6">
        <v>9.5208807620399991</v>
      </c>
      <c r="V15" s="6">
        <v>2.2442218245799999</v>
      </c>
      <c r="W15" s="6">
        <v>3965.5783291500002</v>
      </c>
      <c r="X15" s="6">
        <v>307.44103231999998</v>
      </c>
      <c r="Y15" s="4">
        <v>0</v>
      </c>
      <c r="Z15" s="4">
        <v>0</v>
      </c>
      <c r="AA15" s="4">
        <v>0</v>
      </c>
      <c r="AB15" s="4">
        <v>0</v>
      </c>
      <c r="AC15" s="6">
        <v>0.61889433168619012</v>
      </c>
      <c r="AD15" s="6">
        <v>8.2908202108387424E-2</v>
      </c>
      <c r="AE15" s="6">
        <v>0.38110566831380988</v>
      </c>
      <c r="AF15" s="6">
        <v>8.2908202108387424E-2</v>
      </c>
    </row>
    <row r="16" spans="1:32" x14ac:dyDescent="0.2">
      <c r="A16" s="2">
        <v>5</v>
      </c>
      <c r="B16" s="4" t="s">
        <v>24</v>
      </c>
      <c r="C16" s="4" t="s">
        <v>66</v>
      </c>
      <c r="D16" s="4">
        <v>6.9</v>
      </c>
      <c r="E16" s="4">
        <v>0.996</v>
      </c>
      <c r="F16" s="4">
        <v>4.242640687119285E-4</v>
      </c>
      <c r="G16" s="4">
        <v>1.6000000000000001E-3</v>
      </c>
      <c r="H16" s="4">
        <v>2.9999999999999997E-4</v>
      </c>
      <c r="I16" s="4">
        <v>2.3999999999999998E-3</v>
      </c>
      <c r="J16" s="4">
        <v>2.9999999999999997E-4</v>
      </c>
      <c r="K16" s="4">
        <v>5949</v>
      </c>
      <c r="L16" s="4">
        <v>709</v>
      </c>
      <c r="M16" s="4">
        <v>976</v>
      </c>
      <c r="N16" s="4">
        <v>683</v>
      </c>
      <c r="O16" s="4">
        <v>0</v>
      </c>
      <c r="P16" s="4">
        <v>0</v>
      </c>
      <c r="Q16" s="4">
        <v>9.5412991178829198</v>
      </c>
      <c r="R16" s="4">
        <v>2.1198078708860897</v>
      </c>
      <c r="S16" s="6">
        <v>5939.4587008821172</v>
      </c>
      <c r="T16" s="4">
        <v>709.00316895300932</v>
      </c>
      <c r="U16" s="4">
        <v>2.3461538461538458</v>
      </c>
      <c r="V16" s="4">
        <v>1.6678141331765666</v>
      </c>
      <c r="W16" s="6">
        <v>973.65384615384619</v>
      </c>
      <c r="X16" s="4">
        <v>683.00203631027546</v>
      </c>
      <c r="Y16" s="6">
        <v>0</v>
      </c>
      <c r="Z16" s="6">
        <v>0</v>
      </c>
      <c r="AA16" s="6">
        <v>0</v>
      </c>
      <c r="AB16" s="6">
        <v>0</v>
      </c>
      <c r="AC16" s="4">
        <v>0.73510356264130672</v>
      </c>
      <c r="AD16" s="4">
        <v>0.17735281444822368</v>
      </c>
      <c r="AE16" s="4">
        <v>0.26489643735869323</v>
      </c>
      <c r="AF16" s="4">
        <v>0.17735281444822368</v>
      </c>
    </row>
    <row r="17" spans="1:32" x14ac:dyDescent="0.2">
      <c r="A17" s="2">
        <v>6</v>
      </c>
      <c r="B17" s="4" t="s">
        <v>24</v>
      </c>
      <c r="C17" s="4" t="s">
        <v>66</v>
      </c>
      <c r="D17" s="4">
        <v>8</v>
      </c>
      <c r="E17" s="4">
        <v>0.99010000000000009</v>
      </c>
      <c r="F17" s="4">
        <v>2.1377558326431947E-3</v>
      </c>
      <c r="G17" s="4">
        <v>1.4000000000000002E-3</v>
      </c>
      <c r="H17" s="4">
        <v>4.0000000000000002E-4</v>
      </c>
      <c r="I17" s="4">
        <v>8.5000000000000006E-3</v>
      </c>
      <c r="J17" s="4">
        <v>2.0999999999999999E-3</v>
      </c>
      <c r="K17" s="4">
        <v>8059</v>
      </c>
      <c r="L17" s="4">
        <v>4243</v>
      </c>
      <c r="M17" s="4">
        <v>581</v>
      </c>
      <c r="N17" s="4">
        <v>662</v>
      </c>
      <c r="O17" s="4">
        <v>0</v>
      </c>
      <c r="P17" s="4">
        <v>0</v>
      </c>
      <c r="Q17" s="4">
        <v>11.37932425617751</v>
      </c>
      <c r="R17" s="4">
        <v>6.8165042727688139</v>
      </c>
      <c r="S17" s="6">
        <v>8047.6206757438222</v>
      </c>
      <c r="T17" s="4">
        <v>4243.0054754537496</v>
      </c>
      <c r="U17" s="4">
        <v>4.9454235930302426</v>
      </c>
      <c r="V17" s="4">
        <v>5.7658490662159636</v>
      </c>
      <c r="W17" s="6">
        <v>576.05457640696977</v>
      </c>
      <c r="X17" s="4">
        <v>662.02510905210715</v>
      </c>
      <c r="Y17" s="6">
        <v>0</v>
      </c>
      <c r="Z17" s="6">
        <v>0</v>
      </c>
      <c r="AA17" s="6">
        <v>0</v>
      </c>
      <c r="AB17" s="6">
        <v>0</v>
      </c>
      <c r="AC17" s="4">
        <v>0.80131153624686902</v>
      </c>
      <c r="AD17" s="4">
        <v>0.18960565929723863</v>
      </c>
      <c r="AE17" s="4">
        <v>0.19868846375313093</v>
      </c>
      <c r="AF17" s="4">
        <v>0.18960565929723863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05BA-E05E-E04F-8AEE-80A32A58A3FF}">
  <dimension ref="A1:AF14"/>
  <sheetViews>
    <sheetView topLeftCell="W1" workbookViewId="0">
      <selection activeCell="AC14" sqref="AC14"/>
    </sheetView>
  </sheetViews>
  <sheetFormatPr baseColWidth="10" defaultRowHeight="16" x14ac:dyDescent="0.2"/>
  <sheetData>
    <row r="1" spans="1:32" x14ac:dyDescent="0.2">
      <c r="A1" s="4"/>
      <c r="B1" s="2" t="s">
        <v>14</v>
      </c>
      <c r="C1" s="2" t="s">
        <v>38</v>
      </c>
      <c r="D1" s="2" t="s">
        <v>35</v>
      </c>
      <c r="E1" s="1" t="s">
        <v>54</v>
      </c>
      <c r="F1" s="1" t="s">
        <v>55</v>
      </c>
      <c r="G1" s="1" t="s">
        <v>56</v>
      </c>
      <c r="H1" s="1" t="s">
        <v>79</v>
      </c>
      <c r="I1" s="1" t="s">
        <v>57</v>
      </c>
      <c r="J1" s="1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72</v>
      </c>
      <c r="R1" s="3" t="s">
        <v>73</v>
      </c>
      <c r="S1" s="3" t="s">
        <v>67</v>
      </c>
      <c r="T1" s="3" t="s">
        <v>74</v>
      </c>
      <c r="U1" s="3" t="s">
        <v>68</v>
      </c>
      <c r="V1" s="8" t="s">
        <v>75</v>
      </c>
      <c r="W1" s="3" t="s">
        <v>69</v>
      </c>
      <c r="X1" s="3" t="s">
        <v>76</v>
      </c>
      <c r="Y1" s="3" t="s">
        <v>70</v>
      </c>
      <c r="Z1" s="8" t="s">
        <v>77</v>
      </c>
      <c r="AA1" s="3" t="s">
        <v>71</v>
      </c>
      <c r="AB1" s="3" t="s">
        <v>78</v>
      </c>
      <c r="AC1" s="3" t="s">
        <v>80</v>
      </c>
      <c r="AD1" s="3" t="s">
        <v>81</v>
      </c>
      <c r="AE1" s="3" t="s">
        <v>82</v>
      </c>
      <c r="AF1" s="3" t="s">
        <v>83</v>
      </c>
    </row>
    <row r="2" spans="1:32" x14ac:dyDescent="0.2">
      <c r="A2" s="2" t="s">
        <v>25</v>
      </c>
      <c r="B2" s="4" t="s">
        <v>15</v>
      </c>
      <c r="C2" s="4" t="s">
        <v>39</v>
      </c>
      <c r="D2" s="4">
        <v>7.9</v>
      </c>
      <c r="E2" s="4">
        <v>0.99815837399999996</v>
      </c>
      <c r="F2" s="4">
        <v>2.7119900000000001E-5</v>
      </c>
      <c r="G2" s="4">
        <v>1.754893E-3</v>
      </c>
      <c r="H2" s="4">
        <v>2.5268800000000001E-5</v>
      </c>
      <c r="I2" s="4">
        <v>8.6733100000000005E-5</v>
      </c>
      <c r="J2" s="4">
        <v>9.8478099999999998E-6</v>
      </c>
      <c r="K2" s="4">
        <v>2719.286337</v>
      </c>
      <c r="L2" s="4">
        <v>56.420816790000003</v>
      </c>
      <c r="M2" s="4">
        <v>8054.6358229999996</v>
      </c>
      <c r="N2" s="4">
        <v>2773.4287359999998</v>
      </c>
      <c r="O2" s="4">
        <v>0</v>
      </c>
      <c r="P2" s="4">
        <v>0</v>
      </c>
      <c r="Q2" s="6">
        <v>4.772470674</v>
      </c>
      <c r="R2" s="6">
        <v>0.120461314</v>
      </c>
      <c r="S2" s="6">
        <v>2714.5138670000001</v>
      </c>
      <c r="T2" s="6">
        <v>56.321837479999999</v>
      </c>
      <c r="U2" s="6">
        <v>0.699831274</v>
      </c>
      <c r="V2" s="6">
        <v>0.2537316</v>
      </c>
      <c r="W2" s="6">
        <v>8053.9359919999997</v>
      </c>
      <c r="X2" s="6">
        <v>2773.187766</v>
      </c>
      <c r="Y2" s="6">
        <v>0</v>
      </c>
      <c r="Z2" s="6">
        <v>0</v>
      </c>
      <c r="AA2" s="6">
        <v>0</v>
      </c>
      <c r="AB2" s="6">
        <v>0</v>
      </c>
      <c r="AC2" s="6">
        <v>0.67665329900000004</v>
      </c>
      <c r="AD2" s="6">
        <v>5.7163710999999999E-2</v>
      </c>
      <c r="AE2" s="6">
        <v>0.32334670100000001</v>
      </c>
      <c r="AF2" s="6">
        <v>5.7163710999999999E-2</v>
      </c>
    </row>
    <row r="3" spans="1:32" x14ac:dyDescent="0.2">
      <c r="A3" s="2" t="s">
        <v>26</v>
      </c>
      <c r="B3" s="4" t="s">
        <v>15</v>
      </c>
      <c r="C3" s="4" t="s">
        <v>39</v>
      </c>
      <c r="D3" s="4">
        <v>8.4</v>
      </c>
      <c r="E3" s="4">
        <v>0.99849312400000001</v>
      </c>
      <c r="F3" s="4">
        <v>1.1845099999999999E-5</v>
      </c>
      <c r="G3" s="4">
        <v>1.1111459999999999E-3</v>
      </c>
      <c r="H3" s="4">
        <v>1.11724E-5</v>
      </c>
      <c r="I3" s="4">
        <v>3.9573000000000001E-4</v>
      </c>
      <c r="J3" s="4">
        <v>3.9349000000000002E-6</v>
      </c>
      <c r="K3" s="4">
        <v>2130.4199429999999</v>
      </c>
      <c r="L3" s="4">
        <v>83.719343850000001</v>
      </c>
      <c r="M3" s="4">
        <v>22713.757699999998</v>
      </c>
      <c r="N3" s="4">
        <v>1256.230063</v>
      </c>
      <c r="O3" s="4">
        <v>3513.3092919999999</v>
      </c>
      <c r="P3" s="4">
        <v>442.74536219999999</v>
      </c>
      <c r="Q3" s="6">
        <v>2.368144204</v>
      </c>
      <c r="R3" s="6">
        <v>9.6052665999999995E-2</v>
      </c>
      <c r="S3" s="6">
        <v>2128.0517989999998</v>
      </c>
      <c r="T3" s="6">
        <v>83.626286010000001</v>
      </c>
      <c r="U3" s="6">
        <v>8.9985135140000008</v>
      </c>
      <c r="V3" s="6">
        <v>0.50565388099999997</v>
      </c>
      <c r="W3" s="6">
        <v>22704.759180000001</v>
      </c>
      <c r="X3" s="6">
        <v>1255.7323859999999</v>
      </c>
      <c r="Y3" s="6">
        <v>922.65194029999998</v>
      </c>
      <c r="Z3" s="6">
        <v>116.6694653</v>
      </c>
      <c r="AA3" s="6">
        <v>2590.6573520000002</v>
      </c>
      <c r="AB3" s="6">
        <v>326.6149863</v>
      </c>
      <c r="AC3" s="6">
        <v>0.67758840399999998</v>
      </c>
      <c r="AD3" s="6">
        <v>5.7193582999999999E-2</v>
      </c>
      <c r="AE3" s="6">
        <v>0.32241159600000002</v>
      </c>
      <c r="AF3" s="6">
        <v>5.7193582999999999E-2</v>
      </c>
    </row>
    <row r="4" spans="1:32" x14ac:dyDescent="0.2">
      <c r="A4" s="2" t="s">
        <v>27</v>
      </c>
      <c r="B4" s="4" t="s">
        <v>15</v>
      </c>
      <c r="C4" s="4" t="s">
        <v>39</v>
      </c>
      <c r="D4" s="4">
        <v>8.8000000000000007</v>
      </c>
      <c r="E4" s="4">
        <v>0.99538473500000002</v>
      </c>
      <c r="F4" s="4">
        <v>8.3235500000000001E-4</v>
      </c>
      <c r="G4" s="4">
        <v>1.728799E-3</v>
      </c>
      <c r="H4" s="4">
        <v>8.5788499999999994E-5</v>
      </c>
      <c r="I4" s="4">
        <v>2.8864659999999999E-3</v>
      </c>
      <c r="J4" s="4">
        <v>8.2792200000000003E-4</v>
      </c>
      <c r="K4" s="4">
        <v>2675.3977410000002</v>
      </c>
      <c r="L4" s="4">
        <v>187.53023949999999</v>
      </c>
      <c r="M4" s="4">
        <v>23340.32043</v>
      </c>
      <c r="N4" s="4">
        <v>3976.2251040000001</v>
      </c>
      <c r="O4" s="4">
        <v>0</v>
      </c>
      <c r="P4" s="4">
        <v>0</v>
      </c>
      <c r="Q4" s="6">
        <v>4.6386132680000003</v>
      </c>
      <c r="R4" s="6">
        <v>0.39816063099999999</v>
      </c>
      <c r="S4" s="6">
        <v>2670.7591269999998</v>
      </c>
      <c r="T4" s="6">
        <v>187.20524</v>
      </c>
      <c r="U4" s="6">
        <v>67.487723869999996</v>
      </c>
      <c r="V4" s="6">
        <v>22.466269690000001</v>
      </c>
      <c r="W4" s="6">
        <v>23272.832709999999</v>
      </c>
      <c r="X4" s="6">
        <v>3964.7749709999998</v>
      </c>
      <c r="Y4" s="6">
        <v>0</v>
      </c>
      <c r="Z4" s="6">
        <v>0</v>
      </c>
      <c r="AA4" s="6">
        <v>0</v>
      </c>
      <c r="AB4" s="6">
        <v>0</v>
      </c>
      <c r="AC4" s="6">
        <v>0.67092558000000002</v>
      </c>
      <c r="AD4" s="6">
        <v>5.7212331999999998E-2</v>
      </c>
      <c r="AE4" s="6">
        <v>0.32907441999999998</v>
      </c>
      <c r="AF4" s="6">
        <v>5.7212331999999998E-2</v>
      </c>
    </row>
    <row r="5" spans="1:32" x14ac:dyDescent="0.2">
      <c r="A5" s="2" t="s">
        <v>28</v>
      </c>
      <c r="B5" s="4" t="s">
        <v>17</v>
      </c>
      <c r="C5" s="4" t="s">
        <v>39</v>
      </c>
      <c r="D5" s="4">
        <v>8</v>
      </c>
      <c r="E5" s="4">
        <v>0.99751617299999995</v>
      </c>
      <c r="F5" s="4">
        <v>1.8422499999999999E-5</v>
      </c>
      <c r="G5" s="4">
        <v>1.0537529999999999E-3</v>
      </c>
      <c r="H5" s="4">
        <v>1.36061E-5</v>
      </c>
      <c r="I5" s="4">
        <v>1.430073E-3</v>
      </c>
      <c r="J5" s="4">
        <v>1.24202E-5</v>
      </c>
      <c r="K5" s="4">
        <v>5512.4072260000003</v>
      </c>
      <c r="L5" s="4">
        <v>190.69846129999999</v>
      </c>
      <c r="M5" s="4">
        <v>4339.5521689999996</v>
      </c>
      <c r="N5" s="4">
        <v>117.5083901</v>
      </c>
      <c r="O5" s="4">
        <v>3458.3505540000001</v>
      </c>
      <c r="P5" s="4">
        <v>213.97865289999999</v>
      </c>
      <c r="Q5" s="6">
        <v>5.8170365669999997</v>
      </c>
      <c r="R5" s="6">
        <v>0.21476938400000001</v>
      </c>
      <c r="S5" s="6">
        <v>5506.5901889999996</v>
      </c>
      <c r="T5" s="6">
        <v>190.4972392</v>
      </c>
      <c r="U5" s="6">
        <v>6.212423534</v>
      </c>
      <c r="V5" s="6">
        <v>0.17664016599999999</v>
      </c>
      <c r="W5" s="6">
        <v>4333.3397459999996</v>
      </c>
      <c r="X5" s="6">
        <v>117.3401796</v>
      </c>
      <c r="Y5" s="6">
        <v>1991.1593029999999</v>
      </c>
      <c r="Z5" s="6">
        <v>123.8983734</v>
      </c>
      <c r="AA5" s="6">
        <v>1467.191251</v>
      </c>
      <c r="AB5" s="6">
        <v>91.726370770000003</v>
      </c>
      <c r="AC5" s="6">
        <v>0.709092897</v>
      </c>
      <c r="AD5" s="6">
        <v>5.8663207000000002E-2</v>
      </c>
      <c r="AE5" s="6">
        <v>0.290907103</v>
      </c>
      <c r="AF5" s="6">
        <v>5.8663207000000002E-2</v>
      </c>
    </row>
    <row r="6" spans="1:32" x14ac:dyDescent="0.2">
      <c r="A6" s="2" t="s">
        <v>29</v>
      </c>
      <c r="B6" s="4" t="s">
        <v>17</v>
      </c>
      <c r="C6" s="4" t="s">
        <v>39</v>
      </c>
      <c r="D6" s="4">
        <v>8.4</v>
      </c>
      <c r="E6" s="4">
        <v>0.99610652099999997</v>
      </c>
      <c r="F6" s="4">
        <v>3.2737700000000003E-5</v>
      </c>
      <c r="G6" s="4">
        <v>9.3371999999999997E-4</v>
      </c>
      <c r="H6" s="4">
        <v>1.47411E-5</v>
      </c>
      <c r="I6" s="4">
        <v>2.9597590000000002E-3</v>
      </c>
      <c r="J6" s="4">
        <v>2.9231099999999999E-5</v>
      </c>
      <c r="K6" s="4">
        <v>6133.4177900000004</v>
      </c>
      <c r="L6" s="4">
        <v>288.3662655</v>
      </c>
      <c r="M6" s="4">
        <v>3652.837235</v>
      </c>
      <c r="N6" s="4">
        <v>100.5258328</v>
      </c>
      <c r="O6" s="4">
        <v>3206.7354540000001</v>
      </c>
      <c r="P6" s="4">
        <v>237.85342790000001</v>
      </c>
      <c r="Q6" s="6">
        <v>5.7438977930000004</v>
      </c>
      <c r="R6" s="6">
        <v>0.28484427899999998</v>
      </c>
      <c r="S6" s="6">
        <v>6127.6738919999998</v>
      </c>
      <c r="T6" s="6">
        <v>288.096227</v>
      </c>
      <c r="U6" s="6">
        <v>10.82162147</v>
      </c>
      <c r="V6" s="6">
        <v>0.31630058500000002</v>
      </c>
      <c r="W6" s="6">
        <v>3642.0156139999999</v>
      </c>
      <c r="X6" s="6">
        <v>100.2280792</v>
      </c>
      <c r="Y6" s="6">
        <v>2437.7075129999998</v>
      </c>
      <c r="Z6" s="6">
        <v>181.13969779999999</v>
      </c>
      <c r="AA6" s="6">
        <v>769.02794100000006</v>
      </c>
      <c r="AB6" s="6">
        <v>58.070742070000001</v>
      </c>
      <c r="AC6" s="6">
        <v>0.70213280199999994</v>
      </c>
      <c r="AD6" s="6">
        <v>5.9576839999999999E-2</v>
      </c>
      <c r="AE6" s="6">
        <v>0.297867198</v>
      </c>
      <c r="AF6" s="6">
        <v>5.9576839999999999E-2</v>
      </c>
    </row>
    <row r="7" spans="1:32" x14ac:dyDescent="0.2">
      <c r="A7" s="2" t="s">
        <v>30</v>
      </c>
      <c r="B7" s="4" t="s">
        <v>20</v>
      </c>
      <c r="C7" s="4" t="s">
        <v>41</v>
      </c>
      <c r="D7" s="4">
        <v>7.9</v>
      </c>
      <c r="E7" s="4">
        <v>0.996779847</v>
      </c>
      <c r="F7" s="4">
        <v>8.3241899999999993E-5</v>
      </c>
      <c r="G7" s="4">
        <v>1.6100730000000001E-3</v>
      </c>
      <c r="H7" s="4">
        <v>3.29882E-9</v>
      </c>
      <c r="I7" s="4">
        <v>1.610081E-3</v>
      </c>
      <c r="J7" s="4">
        <v>8.3241899999999993E-5</v>
      </c>
      <c r="K7" s="4">
        <v>12515.97481</v>
      </c>
      <c r="L7" s="4">
        <v>542.59094240000002</v>
      </c>
      <c r="M7" s="4">
        <v>1133.5305980000001</v>
      </c>
      <c r="N7" s="4">
        <v>214.1808446</v>
      </c>
      <c r="O7" s="4">
        <v>16467.635610000001</v>
      </c>
      <c r="P7" s="4">
        <v>1286.127557</v>
      </c>
      <c r="Q7" s="6">
        <v>20.184126769999999</v>
      </c>
      <c r="R7" s="6">
        <v>0.87502130700000003</v>
      </c>
      <c r="S7" s="6">
        <v>12495.79068</v>
      </c>
      <c r="T7" s="6">
        <v>541.71592269999996</v>
      </c>
      <c r="U7" s="6">
        <v>1.8280191269999999</v>
      </c>
      <c r="V7" s="6">
        <v>0.35806088800000002</v>
      </c>
      <c r="W7" s="6">
        <v>1131.7025779999999</v>
      </c>
      <c r="X7" s="6">
        <v>213.83546079999999</v>
      </c>
      <c r="Y7" s="6">
        <v>8233.8387230000008</v>
      </c>
      <c r="Z7" s="6">
        <v>677.37474550000002</v>
      </c>
      <c r="AA7" s="6">
        <v>8233.7968849999997</v>
      </c>
      <c r="AB7" s="6">
        <v>677.37164340000004</v>
      </c>
      <c r="AC7" s="6">
        <v>0.53480913399999996</v>
      </c>
      <c r="AD7" s="6">
        <v>5.7616217999999997E-2</v>
      </c>
      <c r="AE7" s="6">
        <v>0.46519086599999998</v>
      </c>
      <c r="AF7" s="6">
        <v>5.7616217999999997E-2</v>
      </c>
    </row>
    <row r="8" spans="1:32" x14ac:dyDescent="0.2">
      <c r="A8" s="2" t="s">
        <v>31</v>
      </c>
      <c r="B8" s="4" t="s">
        <v>20</v>
      </c>
      <c r="C8" s="4" t="s">
        <v>41</v>
      </c>
      <c r="D8" s="4">
        <v>8.4</v>
      </c>
      <c r="E8" s="4">
        <v>0.99402837300000002</v>
      </c>
      <c r="F8" s="4">
        <v>4.0431499999999998E-4</v>
      </c>
      <c r="G8" s="4">
        <v>1.629929E-3</v>
      </c>
      <c r="H8" s="4">
        <v>2.8904499999999998E-4</v>
      </c>
      <c r="I8" s="4">
        <v>4.3416979999999997E-3</v>
      </c>
      <c r="J8" s="4">
        <v>2.8270699999999999E-4</v>
      </c>
      <c r="K8" s="4">
        <v>12195.044389999999</v>
      </c>
      <c r="L8" s="4">
        <v>1208.6416300000001</v>
      </c>
      <c r="M8" s="4">
        <v>2397.8514570000002</v>
      </c>
      <c r="N8" s="4">
        <v>560.56926339999995</v>
      </c>
      <c r="O8" s="4">
        <v>11921.28527</v>
      </c>
      <c r="P8" s="4">
        <v>2737.718762</v>
      </c>
      <c r="Q8" s="6">
        <v>19.963737179999999</v>
      </c>
      <c r="R8" s="6">
        <v>4.0506237030000003</v>
      </c>
      <c r="S8" s="6">
        <v>12175.08065</v>
      </c>
      <c r="T8" s="6">
        <v>1206.668216</v>
      </c>
      <c r="U8" s="6">
        <v>10.427742479999999</v>
      </c>
      <c r="V8" s="6">
        <v>2.5298022869999999</v>
      </c>
      <c r="W8" s="6">
        <v>2387.4237149999999</v>
      </c>
      <c r="X8" s="6">
        <v>558.13187719999996</v>
      </c>
      <c r="Y8" s="6">
        <v>8667.4228409999996</v>
      </c>
      <c r="Z8" s="6">
        <v>2040.026384</v>
      </c>
      <c r="AA8" s="6">
        <v>3253.8624260000001</v>
      </c>
      <c r="AB8" s="6">
        <v>870.69801749999999</v>
      </c>
      <c r="AC8" s="6">
        <v>0.47278350400000002</v>
      </c>
      <c r="AD8" s="6">
        <v>6.3852928000000003E-2</v>
      </c>
      <c r="AE8" s="6">
        <v>0.52721649599999998</v>
      </c>
      <c r="AF8" s="6">
        <v>6.3852928000000003E-2</v>
      </c>
    </row>
    <row r="9" spans="1:32" x14ac:dyDescent="0.2">
      <c r="A9" s="2" t="s">
        <v>32</v>
      </c>
      <c r="B9" s="4" t="s">
        <v>34</v>
      </c>
      <c r="C9" s="4" t="s">
        <v>41</v>
      </c>
      <c r="D9" s="4">
        <v>7.9</v>
      </c>
      <c r="E9" s="4">
        <v>0.99797493000000004</v>
      </c>
      <c r="F9" s="4">
        <v>9.3187800000000002E-5</v>
      </c>
      <c r="G9" s="4">
        <v>1.0294150000000001E-3</v>
      </c>
      <c r="H9" s="4">
        <v>5.9130599999999999E-5</v>
      </c>
      <c r="I9" s="4">
        <v>9.956539999999999E-4</v>
      </c>
      <c r="J9" s="4">
        <v>7.2024499999999995E-5</v>
      </c>
      <c r="K9" s="4">
        <v>1174.886925</v>
      </c>
      <c r="L9" s="4">
        <v>119.8295492</v>
      </c>
      <c r="M9" s="4">
        <v>1114.7498410000001</v>
      </c>
      <c r="N9" s="4">
        <v>116.21585519999999</v>
      </c>
      <c r="O9" s="4">
        <v>8872.837528</v>
      </c>
      <c r="P9" s="4">
        <v>857.74106270000004</v>
      </c>
      <c r="Q9" s="6">
        <v>1.2106521480000001</v>
      </c>
      <c r="R9" s="6">
        <v>0.141677999</v>
      </c>
      <c r="S9" s="6">
        <v>1173.676273</v>
      </c>
      <c r="T9" s="6">
        <v>119.70609210000001</v>
      </c>
      <c r="U9" s="6">
        <v>1.111049395</v>
      </c>
      <c r="V9" s="6">
        <v>0.14093763300000001</v>
      </c>
      <c r="W9" s="6">
        <v>1113.638792</v>
      </c>
      <c r="X9" s="6">
        <v>116.10005289999999</v>
      </c>
      <c r="Y9" s="6">
        <v>4362.4569419999998</v>
      </c>
      <c r="Z9" s="6">
        <v>468.8369629</v>
      </c>
      <c r="AA9" s="6">
        <v>4510.3805849999999</v>
      </c>
      <c r="AB9" s="6">
        <v>481.74024150000002</v>
      </c>
      <c r="AC9" s="6">
        <v>0.49542183699999998</v>
      </c>
      <c r="AD9" s="6">
        <v>5.5727803999999999E-2</v>
      </c>
      <c r="AE9" s="6">
        <v>0.50457816300000002</v>
      </c>
      <c r="AF9" s="6">
        <v>5.5727803999999999E-2</v>
      </c>
    </row>
    <row r="10" spans="1:32" x14ac:dyDescent="0.2">
      <c r="A10" s="2" t="s">
        <v>33</v>
      </c>
      <c r="B10" s="4" t="s">
        <v>21</v>
      </c>
      <c r="C10" s="4" t="s">
        <v>41</v>
      </c>
      <c r="D10" s="4">
        <v>7.8</v>
      </c>
      <c r="E10" s="4">
        <v>0.99669958299999994</v>
      </c>
      <c r="F10" s="4">
        <v>6.5593900000000002E-4</v>
      </c>
      <c r="G10" s="4">
        <v>1.943146E-3</v>
      </c>
      <c r="H10" s="4">
        <v>1.0814700000000001E-4</v>
      </c>
      <c r="I10" s="4">
        <v>1.35727E-3</v>
      </c>
      <c r="J10" s="4">
        <v>6.4696199999999995E-4</v>
      </c>
      <c r="K10" s="4">
        <v>9868.4206680000007</v>
      </c>
      <c r="L10" s="4">
        <v>473.13162460000001</v>
      </c>
      <c r="M10" s="4">
        <v>27126.07645</v>
      </c>
      <c r="N10" s="4">
        <v>13817.23143</v>
      </c>
      <c r="O10" s="4">
        <v>0</v>
      </c>
      <c r="P10" s="4">
        <v>0</v>
      </c>
      <c r="Q10" s="6">
        <v>19.201847740000002</v>
      </c>
      <c r="R10" s="6">
        <v>1.4090229379999999</v>
      </c>
      <c r="S10" s="6">
        <v>9849.2188200000001</v>
      </c>
      <c r="T10" s="6">
        <v>472.21221580000002</v>
      </c>
      <c r="U10" s="6">
        <v>36.889099289999997</v>
      </c>
      <c r="V10" s="6">
        <v>25.71808236</v>
      </c>
      <c r="W10" s="6">
        <v>27089.18735</v>
      </c>
      <c r="X10" s="6">
        <v>13798.452370000001</v>
      </c>
      <c r="Y10" s="6">
        <v>0</v>
      </c>
      <c r="Z10" s="6">
        <v>0</v>
      </c>
      <c r="AA10" s="6">
        <v>0</v>
      </c>
      <c r="AB10" s="6">
        <v>0</v>
      </c>
      <c r="AC10" s="6">
        <v>0.48058045500000002</v>
      </c>
      <c r="AD10" s="6">
        <v>5.9189362000000002E-2</v>
      </c>
      <c r="AE10" s="6">
        <v>0.51941954499999998</v>
      </c>
      <c r="AF10" s="6">
        <v>5.9189362000000002E-2</v>
      </c>
    </row>
    <row r="11" spans="1:32" x14ac:dyDescent="0.2">
      <c r="A11" s="2" t="s">
        <v>25</v>
      </c>
      <c r="B11" s="4" t="s">
        <v>36</v>
      </c>
      <c r="C11" s="4" t="s">
        <v>65</v>
      </c>
      <c r="D11" s="4">
        <v>7.4</v>
      </c>
      <c r="E11" s="4">
        <v>0.99687807114399996</v>
      </c>
      <c r="F11" s="4">
        <v>8.4532924096300001E-4</v>
      </c>
      <c r="G11" s="4">
        <v>1.94373338411817E-3</v>
      </c>
      <c r="H11" s="4">
        <v>6.0649161237565899E-4</v>
      </c>
      <c r="I11" s="4">
        <v>1.1781954721006001E-3</v>
      </c>
      <c r="J11" s="4">
        <v>5.8885435359279001E-4</v>
      </c>
      <c r="K11" s="4">
        <v>3980.6798679774602</v>
      </c>
      <c r="L11" s="4">
        <v>862.96222067341398</v>
      </c>
      <c r="M11" s="4">
        <v>4703.67256889499</v>
      </c>
      <c r="N11" s="4">
        <v>1709.9331463255401</v>
      </c>
      <c r="O11" s="4">
        <v>12599.481140488801</v>
      </c>
      <c r="P11" s="4">
        <v>6232.70001569947</v>
      </c>
      <c r="Q11" s="4">
        <v>7.7465072506399997</v>
      </c>
      <c r="R11" s="4">
        <v>2.9393689320899998</v>
      </c>
      <c r="S11" s="4">
        <v>3972.93336073</v>
      </c>
      <c r="T11" s="4">
        <v>861.28625208699998</v>
      </c>
      <c r="U11" s="4">
        <v>5.5526385718800002</v>
      </c>
      <c r="V11" s="4">
        <v>3.42899565965</v>
      </c>
      <c r="W11" s="4">
        <v>4698.1199303200001</v>
      </c>
      <c r="X11" s="4">
        <v>1707.9168366500001</v>
      </c>
      <c r="Y11" s="4">
        <v>4754.9615363499997</v>
      </c>
      <c r="Z11" s="4">
        <v>2928.3662716399999</v>
      </c>
      <c r="AA11" s="4">
        <v>7844.5196041400004</v>
      </c>
      <c r="AB11" s="4">
        <v>4254.52847931</v>
      </c>
      <c r="AC11" s="4">
        <v>0.38872274936326862</v>
      </c>
      <c r="AD11" s="4">
        <v>0.13808081771225506</v>
      </c>
      <c r="AE11" s="4">
        <v>0.61127725063673144</v>
      </c>
      <c r="AF11" s="4">
        <v>0.13808081771225506</v>
      </c>
    </row>
    <row r="12" spans="1:32" x14ac:dyDescent="0.2">
      <c r="A12" s="2">
        <v>1</v>
      </c>
      <c r="B12" s="4" t="s">
        <v>36</v>
      </c>
      <c r="C12" s="4" t="s">
        <v>65</v>
      </c>
      <c r="D12" s="4">
        <v>7.8</v>
      </c>
      <c r="E12" s="4">
        <v>0.99479552112900005</v>
      </c>
      <c r="F12" s="4">
        <v>6.9692838825699999E-4</v>
      </c>
      <c r="G12" s="4">
        <v>1.9122246267805399E-3</v>
      </c>
      <c r="H12" s="4">
        <v>4.7242683925443902E-4</v>
      </c>
      <c r="I12" s="4">
        <v>3.2922542442727302E-3</v>
      </c>
      <c r="J12" s="4">
        <v>5.1236906611456504E-4</v>
      </c>
      <c r="K12" s="4">
        <v>3171.0270584622299</v>
      </c>
      <c r="L12" s="4">
        <v>650.30622144465895</v>
      </c>
      <c r="M12" s="4">
        <v>4376.9875367629302</v>
      </c>
      <c r="N12" s="4">
        <v>463.265518669242</v>
      </c>
      <c r="O12" s="4">
        <v>9167.8433746250903</v>
      </c>
      <c r="P12" s="4">
        <v>1821.0594084312199</v>
      </c>
      <c r="Q12" s="4">
        <v>6.0837452695599996</v>
      </c>
      <c r="R12" s="4">
        <v>1.9511664553400001</v>
      </c>
      <c r="S12" s="4">
        <v>3164.94331319</v>
      </c>
      <c r="T12" s="4">
        <v>649.06031595000002</v>
      </c>
      <c r="U12" s="4">
        <v>14.437764043</v>
      </c>
      <c r="V12" s="4">
        <v>2.7112105450100001</v>
      </c>
      <c r="W12" s="4">
        <v>4362.54977272</v>
      </c>
      <c r="X12" s="4">
        <v>461.74283984099998</v>
      </c>
      <c r="Y12" s="4">
        <v>5799.4031696100001</v>
      </c>
      <c r="Z12" s="4">
        <v>1309.2464788699999</v>
      </c>
      <c r="AA12" s="4">
        <v>3368.4402050200001</v>
      </c>
      <c r="AB12" s="4">
        <v>913.66359591499997</v>
      </c>
      <c r="AC12" s="4">
        <v>0.36992255410280334</v>
      </c>
      <c r="AD12" s="4">
        <v>0.13362139646861287</v>
      </c>
      <c r="AE12" s="4">
        <v>0.63007744589719672</v>
      </c>
      <c r="AF12" s="4">
        <v>0.13362139646861287</v>
      </c>
    </row>
    <row r="13" spans="1:32" x14ac:dyDescent="0.2">
      <c r="A13" s="2">
        <v>2</v>
      </c>
      <c r="B13" s="4" t="s">
        <v>37</v>
      </c>
      <c r="C13" s="4" t="s">
        <v>65</v>
      </c>
      <c r="D13" s="4">
        <v>7.4</v>
      </c>
      <c r="E13" s="4">
        <v>0.99916996699600003</v>
      </c>
      <c r="F13" s="4">
        <v>2.36289566153E-5</v>
      </c>
      <c r="G13" s="4">
        <v>8.3003300368864497E-4</v>
      </c>
      <c r="H13" s="4">
        <v>2.36289566153159E-5</v>
      </c>
      <c r="I13" s="4">
        <v>0</v>
      </c>
      <c r="J13" s="4">
        <v>0</v>
      </c>
      <c r="K13" s="4">
        <v>7247.9863502037097</v>
      </c>
      <c r="L13" s="4">
        <v>516.44667171987896</v>
      </c>
      <c r="M13" s="4">
        <v>0</v>
      </c>
      <c r="N13" s="4">
        <v>0</v>
      </c>
      <c r="O13" s="4">
        <v>0</v>
      </c>
      <c r="P13" s="4">
        <v>0</v>
      </c>
      <c r="Q13" s="4">
        <v>6.0160678809499997</v>
      </c>
      <c r="R13" s="4">
        <v>0.46156062557299998</v>
      </c>
      <c r="S13" s="4">
        <v>7241.9702823199996</v>
      </c>
      <c r="T13" s="4">
        <v>516.01803231099996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0.60058532178094692</v>
      </c>
      <c r="AD13" s="4">
        <v>0.14571260118360613</v>
      </c>
      <c r="AE13" s="4">
        <v>0.39941467821905313</v>
      </c>
      <c r="AF13" s="4">
        <v>0.14571260118360613</v>
      </c>
    </row>
    <row r="14" spans="1:32" x14ac:dyDescent="0.2">
      <c r="A14" s="2">
        <v>3</v>
      </c>
      <c r="B14" s="4" t="s">
        <v>37</v>
      </c>
      <c r="C14" s="4" t="s">
        <v>65</v>
      </c>
      <c r="D14" s="4">
        <v>7.8</v>
      </c>
      <c r="E14" s="4">
        <v>0.99904421670599997</v>
      </c>
      <c r="F14" s="4">
        <v>8.2222393206700002E-5</v>
      </c>
      <c r="G14" s="4">
        <v>7.36789514765242E-4</v>
      </c>
      <c r="H14" s="4">
        <v>6.7879564326858794E-5</v>
      </c>
      <c r="I14" s="4">
        <v>2.18993779462321E-4</v>
      </c>
      <c r="J14" s="4">
        <v>4.63992100302738E-5</v>
      </c>
      <c r="K14" s="4">
        <v>5038.44038218469</v>
      </c>
      <c r="L14" s="4">
        <v>727.18233622840796</v>
      </c>
      <c r="M14" s="4">
        <v>9500.5790486121896</v>
      </c>
      <c r="N14" s="4">
        <v>2493.8357493219501</v>
      </c>
      <c r="O14" s="4">
        <v>6405.5512267436698</v>
      </c>
      <c r="P14" s="4">
        <v>4263.8306593390498</v>
      </c>
      <c r="Q14" s="4">
        <v>3.71308318648</v>
      </c>
      <c r="R14" s="4">
        <v>0.63563679337900003</v>
      </c>
      <c r="S14" s="4">
        <v>5034.7272990000001</v>
      </c>
      <c r="T14" s="4">
        <v>726.64651895199995</v>
      </c>
      <c r="U14" s="4">
        <v>2.0821017837000002</v>
      </c>
      <c r="V14" s="4">
        <v>0.70230052354200001</v>
      </c>
      <c r="W14" s="4">
        <v>9498.4969468300005</v>
      </c>
      <c r="X14" s="4">
        <v>2493.2892511300001</v>
      </c>
      <c r="Y14" s="4">
        <v>1467.6714702500001</v>
      </c>
      <c r="Z14" s="4">
        <v>1011.31504654</v>
      </c>
      <c r="AA14" s="4">
        <v>4937.8797564899996</v>
      </c>
      <c r="AB14" s="4">
        <v>3297.2582801399999</v>
      </c>
      <c r="AC14" s="4">
        <v>0.65001203534502261</v>
      </c>
      <c r="AD14" s="4">
        <v>0.15511456729599177</v>
      </c>
      <c r="AE14" s="4">
        <v>0.34998796465497739</v>
      </c>
      <c r="AF14" s="4">
        <v>0.15511456729599177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9EF1-4A92-1648-912A-61664449CF8A}">
  <dimension ref="A1:AF8"/>
  <sheetViews>
    <sheetView topLeftCell="T1" workbookViewId="0">
      <selection activeCell="AD9" sqref="AD9"/>
    </sheetView>
  </sheetViews>
  <sheetFormatPr baseColWidth="10" defaultRowHeight="16" x14ac:dyDescent="0.2"/>
  <sheetData>
    <row r="1" spans="1:32" x14ac:dyDescent="0.2">
      <c r="A1" s="4"/>
      <c r="B1" s="2" t="s">
        <v>14</v>
      </c>
      <c r="C1" s="2" t="s">
        <v>38</v>
      </c>
      <c r="D1" s="2" t="s">
        <v>35</v>
      </c>
      <c r="E1" s="1" t="s">
        <v>54</v>
      </c>
      <c r="F1" s="1" t="s">
        <v>55</v>
      </c>
      <c r="G1" s="1" t="s">
        <v>56</v>
      </c>
      <c r="H1" s="1" t="s">
        <v>79</v>
      </c>
      <c r="I1" s="1" t="s">
        <v>57</v>
      </c>
      <c r="J1" s="1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72</v>
      </c>
      <c r="R1" s="3" t="s">
        <v>73</v>
      </c>
      <c r="S1" s="3" t="s">
        <v>67</v>
      </c>
      <c r="T1" s="3" t="s">
        <v>74</v>
      </c>
      <c r="U1" s="3" t="s">
        <v>68</v>
      </c>
      <c r="V1" s="8" t="s">
        <v>75</v>
      </c>
      <c r="W1" s="3" t="s">
        <v>69</v>
      </c>
      <c r="X1" s="3" t="s">
        <v>76</v>
      </c>
      <c r="Y1" s="3" t="s">
        <v>70</v>
      </c>
      <c r="Z1" s="8" t="s">
        <v>77</v>
      </c>
      <c r="AA1" s="3" t="s">
        <v>71</v>
      </c>
      <c r="AB1" s="3" t="s">
        <v>78</v>
      </c>
      <c r="AC1" s="3" t="s">
        <v>80</v>
      </c>
      <c r="AD1" s="3" t="s">
        <v>81</v>
      </c>
      <c r="AE1" s="3" t="s">
        <v>82</v>
      </c>
      <c r="AF1" s="3" t="s">
        <v>83</v>
      </c>
    </row>
    <row r="2" spans="1:32" x14ac:dyDescent="0.2">
      <c r="A2" s="2" t="s">
        <v>25</v>
      </c>
      <c r="B2" s="4" t="s">
        <v>15</v>
      </c>
      <c r="C2" s="4" t="s">
        <v>39</v>
      </c>
      <c r="D2" s="4">
        <v>6.8</v>
      </c>
      <c r="E2" s="7">
        <v>0.998955908</v>
      </c>
      <c r="F2" s="7">
        <v>1.1315900000000001E-4</v>
      </c>
      <c r="G2" s="7">
        <v>1.0440919999999999E-3</v>
      </c>
      <c r="H2" s="7">
        <v>1.1315900000000001E-4</v>
      </c>
      <c r="I2" s="4">
        <v>0</v>
      </c>
      <c r="J2" s="4">
        <v>0</v>
      </c>
      <c r="K2" s="6">
        <v>1406.6129960000001</v>
      </c>
      <c r="L2" s="6">
        <v>186.28542479999999</v>
      </c>
      <c r="M2" s="6">
        <v>0</v>
      </c>
      <c r="N2" s="6">
        <v>0</v>
      </c>
      <c r="O2" s="6">
        <v>0</v>
      </c>
      <c r="P2" s="6">
        <v>0</v>
      </c>
      <c r="Q2" s="6">
        <v>1.4686333650000001</v>
      </c>
      <c r="R2" s="6">
        <v>0.25122185400000002</v>
      </c>
      <c r="S2" s="6">
        <v>1405.1443630000001</v>
      </c>
      <c r="T2" s="6">
        <v>186.09099359999999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0.676478578</v>
      </c>
      <c r="AD2" s="6">
        <v>5.7400944000000002E-2</v>
      </c>
      <c r="AE2" s="6">
        <v>0.323521422</v>
      </c>
      <c r="AF2" s="6">
        <v>5.7400944000000002E-2</v>
      </c>
    </row>
    <row r="3" spans="1:32" x14ac:dyDescent="0.2">
      <c r="A3" s="2" t="s">
        <v>13</v>
      </c>
      <c r="B3" s="4" t="s">
        <v>16</v>
      </c>
      <c r="C3" s="4" t="s">
        <v>39</v>
      </c>
      <c r="D3" s="4">
        <v>6.9</v>
      </c>
      <c r="E3" s="7">
        <v>0.99772814200000004</v>
      </c>
      <c r="F3" s="7">
        <v>7.5139099999999994E-5</v>
      </c>
      <c r="G3" s="7">
        <v>2.2718579999999999E-3</v>
      </c>
      <c r="H3" s="7">
        <v>7.5139099999999994E-5</v>
      </c>
      <c r="I3" s="4">
        <v>0</v>
      </c>
      <c r="J3" s="4">
        <v>0</v>
      </c>
      <c r="K3" s="6">
        <v>1186.3174220000001</v>
      </c>
      <c r="L3" s="6">
        <v>45.518772269999999</v>
      </c>
      <c r="M3" s="6">
        <v>0</v>
      </c>
      <c r="N3" s="6">
        <v>0</v>
      </c>
      <c r="O3" s="6">
        <v>0</v>
      </c>
      <c r="P3" s="6">
        <v>0</v>
      </c>
      <c r="Q3" s="6">
        <v>2.6951451390000001</v>
      </c>
      <c r="R3" s="6">
        <v>0.13639574800000001</v>
      </c>
      <c r="S3" s="6">
        <v>1183.6222769999999</v>
      </c>
      <c r="T3" s="6">
        <v>45.415447149999999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0.84321677299999998</v>
      </c>
      <c r="AD3" s="6">
        <v>6.4954440000000002E-2</v>
      </c>
      <c r="AE3" s="6">
        <v>0.156783227</v>
      </c>
      <c r="AF3" s="6">
        <v>6.4954440000000002E-2</v>
      </c>
    </row>
    <row r="4" spans="1:32" x14ac:dyDescent="0.2">
      <c r="A4" s="2" t="s">
        <v>27</v>
      </c>
      <c r="B4" s="4" t="s">
        <v>17</v>
      </c>
      <c r="C4" s="4" t="s">
        <v>39</v>
      </c>
      <c r="D4" s="4">
        <v>6.9</v>
      </c>
      <c r="E4" s="7">
        <v>0.99937122700000003</v>
      </c>
      <c r="F4" s="7">
        <v>2.3382000000000001E-5</v>
      </c>
      <c r="G4" s="7">
        <v>6.2877300000000001E-4</v>
      </c>
      <c r="H4" s="7">
        <v>2.3382000000000001E-5</v>
      </c>
      <c r="I4" s="4">
        <v>0</v>
      </c>
      <c r="J4" s="4">
        <v>0</v>
      </c>
      <c r="K4" s="6">
        <v>2841.0497260000002</v>
      </c>
      <c r="L4" s="6">
        <v>159.85000460000001</v>
      </c>
      <c r="M4" s="6">
        <v>0</v>
      </c>
      <c r="N4" s="6">
        <v>0</v>
      </c>
      <c r="O4" s="6">
        <v>0</v>
      </c>
      <c r="P4" s="6">
        <v>0</v>
      </c>
      <c r="Q4" s="6">
        <v>1.786375936</v>
      </c>
      <c r="R4" s="6">
        <v>0.120455269</v>
      </c>
      <c r="S4" s="6">
        <v>2839.2633500000002</v>
      </c>
      <c r="T4" s="6">
        <v>159.74950899999999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0.70623920399999995</v>
      </c>
      <c r="AD4" s="6">
        <v>5.8447563000000001E-2</v>
      </c>
      <c r="AE4" s="6">
        <v>0.29376079599999999</v>
      </c>
      <c r="AF4" s="6">
        <v>5.8447563000000001E-2</v>
      </c>
    </row>
    <row r="5" spans="1:32" x14ac:dyDescent="0.2">
      <c r="A5" s="2" t="s">
        <v>4</v>
      </c>
      <c r="B5" s="4" t="s">
        <v>18</v>
      </c>
      <c r="C5" s="4" t="s">
        <v>39</v>
      </c>
      <c r="D5" s="4">
        <v>6.9</v>
      </c>
      <c r="E5" s="7">
        <v>0.99890762499999997</v>
      </c>
      <c r="F5" s="7">
        <v>1.2446899999999999E-4</v>
      </c>
      <c r="G5" s="7">
        <v>1.092375E-3</v>
      </c>
      <c r="H5" s="7">
        <v>1.2446899999999999E-4</v>
      </c>
      <c r="I5" s="4">
        <v>0</v>
      </c>
      <c r="J5" s="4">
        <v>0</v>
      </c>
      <c r="K5" s="6">
        <v>2113.3050819999999</v>
      </c>
      <c r="L5" s="6">
        <v>290.357415</v>
      </c>
      <c r="M5" s="6">
        <v>0</v>
      </c>
      <c r="N5" s="6">
        <v>0</v>
      </c>
      <c r="O5" s="6">
        <v>0</v>
      </c>
      <c r="P5" s="6">
        <v>0</v>
      </c>
      <c r="Q5" s="6">
        <v>2.3085213200000001</v>
      </c>
      <c r="R5" s="6">
        <v>0.41187591699999998</v>
      </c>
      <c r="S5" s="6">
        <v>2110.9965609999999</v>
      </c>
      <c r="T5" s="6">
        <v>290.04035479999999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0.737413922</v>
      </c>
      <c r="AD5" s="6">
        <v>5.9657429999999997E-2</v>
      </c>
      <c r="AE5" s="6">
        <v>0.262586078</v>
      </c>
      <c r="AF5" s="6">
        <v>5.9657429999999997E-2</v>
      </c>
    </row>
    <row r="6" spans="1:32" x14ac:dyDescent="0.2">
      <c r="A6" s="2" t="s">
        <v>29</v>
      </c>
      <c r="B6" s="4" t="s">
        <v>19</v>
      </c>
      <c r="C6" s="4" t="s">
        <v>39</v>
      </c>
      <c r="D6" s="4">
        <v>6.9</v>
      </c>
      <c r="E6" s="7">
        <v>0.95881112999999996</v>
      </c>
      <c r="F6" s="7">
        <v>6.5788829999999998E-3</v>
      </c>
      <c r="G6" s="7">
        <v>4.1188870000000002E-2</v>
      </c>
      <c r="H6" s="7">
        <v>6.5788829999999998E-3</v>
      </c>
      <c r="I6" s="4">
        <v>0</v>
      </c>
      <c r="J6" s="4">
        <v>0</v>
      </c>
      <c r="K6" s="6">
        <v>12.745197559999999</v>
      </c>
      <c r="L6" s="6">
        <v>2.869647295</v>
      </c>
      <c r="M6" s="6">
        <v>0</v>
      </c>
      <c r="N6" s="6">
        <v>0</v>
      </c>
      <c r="O6" s="6">
        <v>0</v>
      </c>
      <c r="P6" s="6">
        <v>0</v>
      </c>
      <c r="Q6" s="6">
        <v>0.52496028500000003</v>
      </c>
      <c r="R6" s="6">
        <v>0.142989585</v>
      </c>
      <c r="S6" s="6">
        <v>12.220237279999999</v>
      </c>
      <c r="T6" s="6">
        <v>2.752626233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0.75524955199999999</v>
      </c>
      <c r="AD6" s="6">
        <v>6.0631584000000002E-2</v>
      </c>
      <c r="AE6" s="6">
        <v>0.24475044800000001</v>
      </c>
      <c r="AF6" s="6">
        <v>6.0631584000000002E-2</v>
      </c>
    </row>
    <row r="7" spans="1:32" x14ac:dyDescent="0.2">
      <c r="A7" s="2" t="s">
        <v>40</v>
      </c>
      <c r="B7" s="4" t="s">
        <v>20</v>
      </c>
      <c r="C7" s="4" t="s">
        <v>41</v>
      </c>
      <c r="D7" s="4">
        <v>6.9</v>
      </c>
      <c r="E7" s="7">
        <v>0.99923901599999998</v>
      </c>
      <c r="F7" s="7">
        <v>2.2476600000000001E-5</v>
      </c>
      <c r="G7" s="7">
        <v>7.6098400000000003E-4</v>
      </c>
      <c r="H7" s="7">
        <v>2.2476600000000001E-5</v>
      </c>
      <c r="I7" s="4">
        <v>0</v>
      </c>
      <c r="J7" s="4">
        <v>0</v>
      </c>
      <c r="K7" s="6">
        <v>7728.7591480000001</v>
      </c>
      <c r="L7" s="6">
        <v>722.5912194</v>
      </c>
      <c r="M7" s="6">
        <v>0</v>
      </c>
      <c r="N7" s="6">
        <v>0</v>
      </c>
      <c r="O7" s="6">
        <v>0</v>
      </c>
      <c r="P7" s="6">
        <v>0</v>
      </c>
      <c r="Q7" s="6">
        <v>5.881462183</v>
      </c>
      <c r="R7" s="6">
        <v>0.57662801100000005</v>
      </c>
      <c r="S7" s="6">
        <v>7722.8776859999998</v>
      </c>
      <c r="T7" s="6">
        <v>722.04135989999997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0.48800538300000001</v>
      </c>
      <c r="AD7" s="6">
        <v>5.6155996E-2</v>
      </c>
      <c r="AE7" s="6">
        <v>0.51199461700000004</v>
      </c>
      <c r="AF7" s="6">
        <v>5.6155996E-2</v>
      </c>
    </row>
    <row r="8" spans="1:32" x14ac:dyDescent="0.2">
      <c r="A8" s="2" t="s">
        <v>32</v>
      </c>
      <c r="B8" s="4" t="s">
        <v>42</v>
      </c>
      <c r="C8" s="4" t="s">
        <v>41</v>
      </c>
      <c r="D8" s="4">
        <v>6.4</v>
      </c>
      <c r="E8" s="7">
        <v>0.97353413499999997</v>
      </c>
      <c r="F8" s="7">
        <v>1.05518E-3</v>
      </c>
      <c r="G8" s="7">
        <v>4.5775299999999998E-4</v>
      </c>
      <c r="H8" s="7">
        <v>8.29237E-5</v>
      </c>
      <c r="I8" s="4">
        <v>0</v>
      </c>
      <c r="J8" s="4">
        <v>0</v>
      </c>
      <c r="K8" s="6">
        <v>2706.2798469999998</v>
      </c>
      <c r="L8" s="6">
        <v>663.06077679999999</v>
      </c>
      <c r="M8" s="6">
        <v>0</v>
      </c>
      <c r="N8" s="6">
        <v>0</v>
      </c>
      <c r="O8" s="6">
        <v>0</v>
      </c>
      <c r="P8" s="6">
        <v>0</v>
      </c>
      <c r="Q8" s="6">
        <v>1.271888221</v>
      </c>
      <c r="R8" s="6">
        <v>0.38748980999999999</v>
      </c>
      <c r="S8" s="6">
        <v>2705.007959</v>
      </c>
      <c r="T8" s="6">
        <v>662.74919379999994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0.34550266400000001</v>
      </c>
      <c r="AD8" s="6">
        <v>5.9639699999999997E-2</v>
      </c>
      <c r="AE8" s="6">
        <v>0.65449733600000004</v>
      </c>
      <c r="AF8" s="6">
        <v>5.9639699999999997E-2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8FC0A-BC85-E048-BFE1-4F30ADD8D0F6}">
  <dimension ref="A1:AF21"/>
  <sheetViews>
    <sheetView workbookViewId="0">
      <selection activeCell="C8" sqref="C8"/>
    </sheetView>
  </sheetViews>
  <sheetFormatPr baseColWidth="10" defaultRowHeight="16" x14ac:dyDescent="0.2"/>
  <cols>
    <col min="2" max="2" width="14.83203125" customWidth="1"/>
  </cols>
  <sheetData>
    <row r="1" spans="1:32" x14ac:dyDescent="0.2">
      <c r="A1" s="4"/>
      <c r="B1" s="2" t="s">
        <v>14</v>
      </c>
      <c r="C1" s="2" t="s">
        <v>38</v>
      </c>
      <c r="D1" s="2" t="s">
        <v>35</v>
      </c>
      <c r="E1" s="1" t="s">
        <v>54</v>
      </c>
      <c r="F1" s="1" t="s">
        <v>55</v>
      </c>
      <c r="G1" s="1" t="s">
        <v>56</v>
      </c>
      <c r="H1" s="1" t="s">
        <v>79</v>
      </c>
      <c r="I1" s="1" t="s">
        <v>57</v>
      </c>
      <c r="J1" s="1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72</v>
      </c>
      <c r="R1" s="3" t="s">
        <v>73</v>
      </c>
      <c r="S1" s="3" t="s">
        <v>67</v>
      </c>
      <c r="T1" s="3" t="s">
        <v>74</v>
      </c>
      <c r="U1" s="3" t="s">
        <v>68</v>
      </c>
      <c r="V1" s="8" t="s">
        <v>75</v>
      </c>
      <c r="W1" s="3" t="s">
        <v>69</v>
      </c>
      <c r="X1" s="3" t="s">
        <v>76</v>
      </c>
      <c r="Y1" s="3" t="s">
        <v>70</v>
      </c>
      <c r="Z1" s="8" t="s">
        <v>77</v>
      </c>
      <c r="AA1" s="3" t="s">
        <v>71</v>
      </c>
      <c r="AB1" s="3" t="s">
        <v>78</v>
      </c>
      <c r="AC1" s="3" t="s">
        <v>80</v>
      </c>
      <c r="AD1" s="3" t="s">
        <v>81</v>
      </c>
      <c r="AE1" s="3" t="s">
        <v>82</v>
      </c>
      <c r="AF1" s="3" t="s">
        <v>83</v>
      </c>
    </row>
    <row r="2" spans="1:32" x14ac:dyDescent="0.2">
      <c r="A2" s="2" t="s">
        <v>43</v>
      </c>
      <c r="B2" s="4" t="s">
        <v>15</v>
      </c>
      <c r="C2" s="4" t="s">
        <v>39</v>
      </c>
      <c r="D2" s="4">
        <v>6.8</v>
      </c>
      <c r="E2" s="7">
        <v>0.99838085200000004</v>
      </c>
      <c r="F2" s="7">
        <v>1.7176500000000001E-5</v>
      </c>
      <c r="G2" s="7">
        <v>1.6191479999999999E-3</v>
      </c>
      <c r="H2" s="7">
        <v>1.7176500000000001E-5</v>
      </c>
      <c r="I2" s="4">
        <v>0</v>
      </c>
      <c r="J2" s="4">
        <v>0</v>
      </c>
      <c r="K2" s="6">
        <v>2860.8639790000002</v>
      </c>
      <c r="L2" s="6">
        <v>46.745745829999997</v>
      </c>
      <c r="M2" s="6">
        <v>0</v>
      </c>
      <c r="N2" s="6">
        <v>0</v>
      </c>
      <c r="O2" s="6">
        <v>0</v>
      </c>
      <c r="P2" s="6">
        <v>0</v>
      </c>
      <c r="Q2" s="6">
        <v>4.6321620189999999</v>
      </c>
      <c r="R2" s="6">
        <v>9.0197595000000005E-2</v>
      </c>
      <c r="S2" s="6">
        <v>2856.2318169999999</v>
      </c>
      <c r="T2" s="6">
        <v>46.670083339999998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0.67444225999999996</v>
      </c>
      <c r="AD2" s="6">
        <v>5.7048555000000001E-2</v>
      </c>
      <c r="AE2" s="6">
        <v>0.32555773999999998</v>
      </c>
      <c r="AF2" s="6">
        <v>5.7048555000000001E-2</v>
      </c>
    </row>
    <row r="3" spans="1:32" x14ac:dyDescent="0.2">
      <c r="A3" s="2" t="s">
        <v>1</v>
      </c>
      <c r="B3" s="4" t="s">
        <v>16</v>
      </c>
      <c r="C3" s="4" t="s">
        <v>39</v>
      </c>
      <c r="D3" s="4">
        <v>6.9</v>
      </c>
      <c r="E3" s="7">
        <v>0.99636088</v>
      </c>
      <c r="F3" s="7">
        <v>4.4073299999999997E-5</v>
      </c>
      <c r="G3" s="7">
        <v>3.63912E-3</v>
      </c>
      <c r="H3" s="7">
        <v>4.4073299999999997E-5</v>
      </c>
      <c r="I3" s="4">
        <v>0</v>
      </c>
      <c r="J3" s="4">
        <v>0</v>
      </c>
      <c r="K3" s="6">
        <v>2806.5510610000001</v>
      </c>
      <c r="L3" s="6">
        <v>43.75654917</v>
      </c>
      <c r="M3" s="6">
        <v>0</v>
      </c>
      <c r="N3" s="6">
        <v>0</v>
      </c>
      <c r="O3" s="6">
        <v>0</v>
      </c>
      <c r="P3" s="6">
        <v>0</v>
      </c>
      <c r="Q3" s="6">
        <v>10.21337475</v>
      </c>
      <c r="R3" s="6">
        <v>0.201358132</v>
      </c>
      <c r="S3" s="6">
        <v>2796.3376859999998</v>
      </c>
      <c r="T3" s="6">
        <v>43.597488050000003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0.82225957400000005</v>
      </c>
      <c r="AD3" s="6">
        <v>6.3716271000000005E-2</v>
      </c>
      <c r="AE3" s="6">
        <v>0.17774042600000001</v>
      </c>
      <c r="AF3" s="6">
        <v>6.3716271000000005E-2</v>
      </c>
    </row>
    <row r="4" spans="1:32" x14ac:dyDescent="0.2">
      <c r="A4" s="2" t="s">
        <v>2</v>
      </c>
      <c r="B4" s="4" t="s">
        <v>17</v>
      </c>
      <c r="C4" s="4" t="s">
        <v>39</v>
      </c>
      <c r="D4" s="4">
        <v>6.9</v>
      </c>
      <c r="E4" s="7">
        <v>0.99876670099999998</v>
      </c>
      <c r="F4" s="7">
        <v>9.7600600000000005E-6</v>
      </c>
      <c r="G4" s="7">
        <v>1.233299E-3</v>
      </c>
      <c r="H4" s="7">
        <v>9.7600600000000005E-6</v>
      </c>
      <c r="I4" s="4">
        <v>0</v>
      </c>
      <c r="J4" s="4">
        <v>0</v>
      </c>
      <c r="K4" s="6">
        <v>6366.1526210000002</v>
      </c>
      <c r="L4" s="6">
        <v>110.9650839</v>
      </c>
      <c r="M4" s="6">
        <v>0</v>
      </c>
      <c r="N4" s="6">
        <v>0</v>
      </c>
      <c r="O4" s="6">
        <v>0</v>
      </c>
      <c r="P4" s="6">
        <v>0</v>
      </c>
      <c r="Q4" s="6">
        <v>7.8513715910000004</v>
      </c>
      <c r="R4" s="6">
        <v>0.15026615199999999</v>
      </c>
      <c r="S4" s="6">
        <v>6358.3012490000001</v>
      </c>
      <c r="T4" s="6">
        <v>110.8282481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0.70285073399999998</v>
      </c>
      <c r="AD4" s="6">
        <v>5.8138574999999998E-2</v>
      </c>
      <c r="AE4" s="6">
        <v>0.29714926600000002</v>
      </c>
      <c r="AF4" s="6">
        <v>5.8138574999999998E-2</v>
      </c>
    </row>
    <row r="5" spans="1:32" x14ac:dyDescent="0.2">
      <c r="A5" s="2" t="s">
        <v>3</v>
      </c>
      <c r="B5" s="4" t="s">
        <v>18</v>
      </c>
      <c r="C5" s="4" t="s">
        <v>39</v>
      </c>
      <c r="D5" s="4">
        <v>5.9</v>
      </c>
      <c r="E5" s="7">
        <v>0.99762936300000005</v>
      </c>
      <c r="F5" s="7">
        <v>1.28806E-4</v>
      </c>
      <c r="G5" s="7">
        <v>2.3706370000000001E-3</v>
      </c>
      <c r="H5" s="7">
        <v>1.28806E-4</v>
      </c>
      <c r="I5" s="4">
        <v>0</v>
      </c>
      <c r="J5" s="4">
        <v>0</v>
      </c>
      <c r="K5" s="6">
        <v>3019.3521580000001</v>
      </c>
      <c r="L5" s="6">
        <v>216.31555109999999</v>
      </c>
      <c r="M5" s="6">
        <v>0</v>
      </c>
      <c r="N5" s="6">
        <v>0</v>
      </c>
      <c r="O5" s="6">
        <v>0</v>
      </c>
      <c r="P5" s="6">
        <v>0</v>
      </c>
      <c r="Q5" s="6">
        <v>7.1577880729999999</v>
      </c>
      <c r="R5" s="6">
        <v>0.64304365799999996</v>
      </c>
      <c r="S5" s="6">
        <v>3012.1943689999998</v>
      </c>
      <c r="T5" s="6">
        <v>215.8030943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0.73276450100000001</v>
      </c>
      <c r="AD5" s="6">
        <v>5.9379942999999998E-2</v>
      </c>
      <c r="AE5" s="6">
        <v>0.26723549899999999</v>
      </c>
      <c r="AF5" s="6">
        <v>5.9379942999999998E-2</v>
      </c>
    </row>
    <row r="6" spans="1:32" x14ac:dyDescent="0.2">
      <c r="A6" s="2" t="s">
        <v>44</v>
      </c>
      <c r="B6" s="4" t="s">
        <v>18</v>
      </c>
      <c r="C6" s="4" t="s">
        <v>39</v>
      </c>
      <c r="D6" s="4">
        <v>6.9</v>
      </c>
      <c r="E6" s="7">
        <v>0.99742749399999997</v>
      </c>
      <c r="F6" s="7">
        <v>6.7507600000000004E-5</v>
      </c>
      <c r="G6" s="7">
        <v>2.572506E-3</v>
      </c>
      <c r="H6" s="7">
        <v>6.7507600000000004E-5</v>
      </c>
      <c r="I6" s="4">
        <v>0</v>
      </c>
      <c r="J6" s="4">
        <v>0</v>
      </c>
      <c r="K6" s="6">
        <v>2849.3544780000002</v>
      </c>
      <c r="L6" s="6">
        <v>100.84942839999999</v>
      </c>
      <c r="M6" s="6">
        <v>0</v>
      </c>
      <c r="N6" s="6">
        <v>0</v>
      </c>
      <c r="O6" s="6">
        <v>0</v>
      </c>
      <c r="P6" s="6">
        <v>0</v>
      </c>
      <c r="Q6" s="6">
        <v>7.3299828949999997</v>
      </c>
      <c r="R6" s="6">
        <v>0.32267132799999998</v>
      </c>
      <c r="S6" s="6">
        <v>2842.0244950000001</v>
      </c>
      <c r="T6" s="6">
        <v>100.5901755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0.73105464099999995</v>
      </c>
      <c r="AD6" s="6">
        <v>5.9243377999999999E-2</v>
      </c>
      <c r="AE6" s="6">
        <v>0.26894535899999999</v>
      </c>
      <c r="AF6" s="6">
        <v>5.9243377999999999E-2</v>
      </c>
    </row>
    <row r="7" spans="1:32" x14ac:dyDescent="0.2">
      <c r="A7" s="2" t="s">
        <v>6</v>
      </c>
      <c r="B7" s="4" t="s">
        <v>19</v>
      </c>
      <c r="C7" s="4" t="s">
        <v>39</v>
      </c>
      <c r="D7" s="4">
        <v>5.9</v>
      </c>
      <c r="E7" s="7">
        <v>0.99815300500000004</v>
      </c>
      <c r="F7" s="7">
        <v>1.06785E-4</v>
      </c>
      <c r="G7" s="7">
        <v>1.8469949999999999E-3</v>
      </c>
      <c r="H7" s="7">
        <v>1.06785E-4</v>
      </c>
      <c r="I7" s="4">
        <v>0</v>
      </c>
      <c r="J7" s="4">
        <v>0</v>
      </c>
      <c r="K7" s="6">
        <v>1279.773463</v>
      </c>
      <c r="L7" s="6">
        <v>84.395841169999997</v>
      </c>
      <c r="M7" s="6">
        <v>0</v>
      </c>
      <c r="N7" s="6">
        <v>0</v>
      </c>
      <c r="O7" s="6">
        <v>0</v>
      </c>
      <c r="P7" s="6">
        <v>0</v>
      </c>
      <c r="Q7" s="6">
        <v>2.3637357259999998</v>
      </c>
      <c r="R7" s="6">
        <v>0.207136561</v>
      </c>
      <c r="S7" s="6">
        <v>1277.409727</v>
      </c>
      <c r="T7" s="6">
        <v>84.24007288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0.734715746</v>
      </c>
      <c r="AD7" s="6">
        <v>5.9466595999999997E-2</v>
      </c>
      <c r="AE7" s="6">
        <v>0.265284254</v>
      </c>
      <c r="AF7" s="6">
        <v>5.9466595999999997E-2</v>
      </c>
    </row>
    <row r="8" spans="1:32" x14ac:dyDescent="0.2">
      <c r="A8" s="2" t="s">
        <v>45</v>
      </c>
      <c r="B8" s="4" t="s">
        <v>19</v>
      </c>
      <c r="C8" s="4" t="s">
        <v>39</v>
      </c>
      <c r="D8" s="4">
        <v>6.8</v>
      </c>
      <c r="E8" s="7">
        <v>0.99822205600000002</v>
      </c>
      <c r="F8" s="7">
        <v>6.22365E-5</v>
      </c>
      <c r="G8" s="7">
        <v>1.7779440000000001E-3</v>
      </c>
      <c r="H8" s="7">
        <v>6.22365E-5</v>
      </c>
      <c r="I8" s="4">
        <v>0</v>
      </c>
      <c r="J8" s="4">
        <v>0</v>
      </c>
      <c r="K8" s="6">
        <v>1295.743009</v>
      </c>
      <c r="L8" s="6">
        <v>53.663178119999998</v>
      </c>
      <c r="M8" s="6">
        <v>0</v>
      </c>
      <c r="N8" s="6">
        <v>0</v>
      </c>
      <c r="O8" s="6">
        <v>0</v>
      </c>
      <c r="P8" s="6">
        <v>0</v>
      </c>
      <c r="Q8" s="6">
        <v>2.303758572</v>
      </c>
      <c r="R8" s="6">
        <v>0.12483279799999999</v>
      </c>
      <c r="S8" s="6">
        <v>1293.439251</v>
      </c>
      <c r="T8" s="6">
        <v>53.567828480000003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0.74168618500000005</v>
      </c>
      <c r="AD8" s="6">
        <v>5.9736162000000002E-2</v>
      </c>
      <c r="AE8" s="6">
        <v>0.258313815</v>
      </c>
      <c r="AF8" s="6">
        <v>5.9736162000000002E-2</v>
      </c>
    </row>
    <row r="9" spans="1:32" x14ac:dyDescent="0.2">
      <c r="A9" s="2" t="s">
        <v>8</v>
      </c>
      <c r="B9" s="4" t="s">
        <v>19</v>
      </c>
      <c r="C9" s="4" t="s">
        <v>39</v>
      </c>
      <c r="D9" s="4">
        <v>6.9</v>
      </c>
      <c r="E9" s="7">
        <v>0.99797975900000002</v>
      </c>
      <c r="F9" s="7">
        <v>9.5750999999999999E-5</v>
      </c>
      <c r="G9" s="7">
        <v>2.0202409999999999E-3</v>
      </c>
      <c r="H9" s="7">
        <v>9.5750999999999999E-5</v>
      </c>
      <c r="I9" s="4">
        <v>0</v>
      </c>
      <c r="J9" s="4">
        <v>0</v>
      </c>
      <c r="K9" s="6">
        <v>1309.0842909999999</v>
      </c>
      <c r="L9" s="6">
        <v>71.842076570000003</v>
      </c>
      <c r="M9" s="6">
        <v>0</v>
      </c>
      <c r="N9" s="6">
        <v>0</v>
      </c>
      <c r="O9" s="6">
        <v>0</v>
      </c>
      <c r="P9" s="6">
        <v>0</v>
      </c>
      <c r="Q9" s="6">
        <v>2.644666328</v>
      </c>
      <c r="R9" s="6">
        <v>0.191607471</v>
      </c>
      <c r="S9" s="6">
        <v>1306.439625</v>
      </c>
      <c r="T9" s="6">
        <v>71.697047350000005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0.73584242099999997</v>
      </c>
      <c r="AD9" s="6">
        <v>5.9441011000000002E-2</v>
      </c>
      <c r="AE9" s="6">
        <v>0.26415757899999998</v>
      </c>
      <c r="AF9" s="6">
        <v>5.9441011000000002E-2</v>
      </c>
    </row>
    <row r="10" spans="1:32" x14ac:dyDescent="0.2">
      <c r="A10" s="2" t="s">
        <v>46</v>
      </c>
      <c r="B10" s="4" t="s">
        <v>20</v>
      </c>
      <c r="C10" s="4" t="s">
        <v>41</v>
      </c>
      <c r="D10" s="4">
        <v>6.9</v>
      </c>
      <c r="E10" s="7">
        <v>0.99846032900000004</v>
      </c>
      <c r="F10" s="7">
        <v>2.5102499999999999E-5</v>
      </c>
      <c r="G10" s="7">
        <v>1.5396710000000001E-3</v>
      </c>
      <c r="H10" s="7">
        <v>2.5102499999999999E-5</v>
      </c>
      <c r="I10" s="4">
        <v>0</v>
      </c>
      <c r="J10" s="4">
        <v>0</v>
      </c>
      <c r="K10" s="6">
        <v>12153.25769</v>
      </c>
      <c r="L10" s="6">
        <v>229.9231734</v>
      </c>
      <c r="M10" s="6">
        <v>0</v>
      </c>
      <c r="N10" s="6">
        <v>0</v>
      </c>
      <c r="O10" s="6">
        <v>0</v>
      </c>
      <c r="P10" s="6">
        <v>0</v>
      </c>
      <c r="Q10" s="6">
        <v>18.71201915</v>
      </c>
      <c r="R10" s="6">
        <v>0.46701872999999999</v>
      </c>
      <c r="S10" s="6">
        <v>12134.54567</v>
      </c>
      <c r="T10" s="6">
        <v>229.5693694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0.47250075400000002</v>
      </c>
      <c r="AD10" s="6">
        <v>5.4870601999999997E-2</v>
      </c>
      <c r="AE10" s="6">
        <v>0.52749924599999998</v>
      </c>
      <c r="AF10" s="6">
        <v>5.4870601999999997E-2</v>
      </c>
    </row>
    <row r="11" spans="1:32" x14ac:dyDescent="0.2">
      <c r="A11" s="2" t="s">
        <v>47</v>
      </c>
      <c r="B11" s="4" t="s">
        <v>34</v>
      </c>
      <c r="C11" s="4" t="s">
        <v>41</v>
      </c>
      <c r="D11" s="4">
        <v>6.4</v>
      </c>
      <c r="E11" s="7">
        <v>0.99910415100000005</v>
      </c>
      <c r="F11" s="7">
        <v>9.0082999999999998E-5</v>
      </c>
      <c r="G11" s="7">
        <v>8.9584899999999999E-4</v>
      </c>
      <c r="H11" s="7">
        <v>9.0082999999999998E-5</v>
      </c>
      <c r="I11" s="4">
        <v>0</v>
      </c>
      <c r="J11" s="4">
        <v>0</v>
      </c>
      <c r="K11" s="6">
        <v>1893.6913010000001</v>
      </c>
      <c r="L11" s="6">
        <v>238.59528890000001</v>
      </c>
      <c r="M11" s="6">
        <v>0</v>
      </c>
      <c r="N11" s="6">
        <v>0</v>
      </c>
      <c r="O11" s="6">
        <v>0</v>
      </c>
      <c r="P11" s="6">
        <v>0</v>
      </c>
      <c r="Q11" s="6">
        <v>1.6964619919999999</v>
      </c>
      <c r="R11" s="6">
        <v>0.27337836599999998</v>
      </c>
      <c r="S11" s="6">
        <v>1891.994839</v>
      </c>
      <c r="T11" s="6">
        <v>238.38160439999999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0.47854395599999999</v>
      </c>
      <c r="AD11" s="6">
        <v>5.5022050000000003E-2</v>
      </c>
      <c r="AE11" s="6">
        <v>0.52145604400000001</v>
      </c>
      <c r="AF11" s="6">
        <v>5.5022050000000003E-2</v>
      </c>
    </row>
    <row r="12" spans="1:32" x14ac:dyDescent="0.2">
      <c r="A12" s="2" t="s">
        <v>31</v>
      </c>
      <c r="B12" s="4" t="s">
        <v>21</v>
      </c>
      <c r="C12" s="4" t="s">
        <v>41</v>
      </c>
      <c r="D12" s="4">
        <v>6.9</v>
      </c>
      <c r="E12" s="7">
        <v>0.99811309299999995</v>
      </c>
      <c r="F12" s="7">
        <v>2.31825E-5</v>
      </c>
      <c r="G12" s="7">
        <v>1.886907E-3</v>
      </c>
      <c r="H12" s="7">
        <v>2.31825E-5</v>
      </c>
      <c r="I12" s="4">
        <v>0</v>
      </c>
      <c r="J12" s="4">
        <v>0</v>
      </c>
      <c r="K12" s="6">
        <v>8855.6214909999999</v>
      </c>
      <c r="L12" s="6">
        <v>197.17562699999999</v>
      </c>
      <c r="M12" s="6">
        <v>0</v>
      </c>
      <c r="N12" s="6">
        <v>0</v>
      </c>
      <c r="O12" s="6">
        <v>0</v>
      </c>
      <c r="P12" s="6">
        <v>0</v>
      </c>
      <c r="Q12" s="6">
        <v>16.709736920000001</v>
      </c>
      <c r="R12" s="6">
        <v>0.42474708300000003</v>
      </c>
      <c r="S12" s="6">
        <v>8838.9117540000007</v>
      </c>
      <c r="T12" s="6">
        <v>196.80368150000001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0.52303407099999999</v>
      </c>
      <c r="AD12" s="6">
        <v>5.4552005000000001E-2</v>
      </c>
      <c r="AE12" s="6">
        <v>0.47696592900000001</v>
      </c>
      <c r="AF12" s="6">
        <v>5.4552005000000001E-2</v>
      </c>
    </row>
    <row r="13" spans="1:32" x14ac:dyDescent="0.2">
      <c r="A13" s="2" t="s">
        <v>48</v>
      </c>
      <c r="B13" s="4" t="s">
        <v>49</v>
      </c>
      <c r="C13" s="4" t="s">
        <v>41</v>
      </c>
      <c r="D13" s="4">
        <v>6.4</v>
      </c>
      <c r="E13" s="7">
        <v>0.99909862699999996</v>
      </c>
      <c r="F13" s="7">
        <v>1.79705E-4</v>
      </c>
      <c r="G13" s="7">
        <v>9.0137300000000002E-4</v>
      </c>
      <c r="H13" s="7">
        <v>1.79705E-4</v>
      </c>
      <c r="I13" s="4">
        <v>0</v>
      </c>
      <c r="J13" s="4">
        <v>0</v>
      </c>
      <c r="K13" s="6">
        <v>3043.455449</v>
      </c>
      <c r="L13" s="6">
        <v>817.52047230000005</v>
      </c>
      <c r="M13" s="6">
        <v>0</v>
      </c>
      <c r="N13" s="6">
        <v>0</v>
      </c>
      <c r="O13" s="6">
        <v>0</v>
      </c>
      <c r="P13" s="6">
        <v>0</v>
      </c>
      <c r="Q13" s="6">
        <v>2.7432884660000001</v>
      </c>
      <c r="R13" s="6">
        <v>0.91738568600000003</v>
      </c>
      <c r="S13" s="6">
        <v>3040.7121609999999</v>
      </c>
      <c r="T13" s="6">
        <v>816.78376419999995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0.218686879</v>
      </c>
      <c r="AD13" s="6">
        <v>6.7054922000000003E-2</v>
      </c>
      <c r="AE13" s="6">
        <v>0.78131312100000005</v>
      </c>
      <c r="AF13" s="6">
        <v>6.7054922000000003E-2</v>
      </c>
    </row>
    <row r="14" spans="1:32" x14ac:dyDescent="0.2">
      <c r="A14" s="2" t="s">
        <v>50</v>
      </c>
      <c r="B14" s="4" t="s">
        <v>22</v>
      </c>
      <c r="C14" s="4" t="s">
        <v>41</v>
      </c>
      <c r="D14" s="4">
        <v>6.4</v>
      </c>
      <c r="E14" s="7">
        <v>0.99776517200000003</v>
      </c>
      <c r="F14" s="7">
        <v>1.49355E-4</v>
      </c>
      <c r="G14" s="7">
        <v>2.2348279999999999E-3</v>
      </c>
      <c r="H14" s="7">
        <v>1.49355E-4</v>
      </c>
      <c r="I14" s="4">
        <v>0</v>
      </c>
      <c r="J14" s="4">
        <v>0</v>
      </c>
      <c r="K14" s="6">
        <v>9762.7155619999994</v>
      </c>
      <c r="L14" s="6">
        <v>697.45643489999998</v>
      </c>
      <c r="M14" s="6">
        <v>0</v>
      </c>
      <c r="N14" s="6">
        <v>0</v>
      </c>
      <c r="O14" s="6">
        <v>0</v>
      </c>
      <c r="P14" s="6">
        <v>0</v>
      </c>
      <c r="Q14" s="6">
        <v>21.817994410000001</v>
      </c>
      <c r="R14" s="6">
        <v>2.1321644750000002</v>
      </c>
      <c r="S14" s="6">
        <v>9740.8975680000003</v>
      </c>
      <c r="T14" s="6">
        <v>695.89926019999996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0.50818821800000002</v>
      </c>
      <c r="AD14" s="6">
        <v>5.5124312000000002E-2</v>
      </c>
      <c r="AE14" s="6">
        <v>0.49181178199999998</v>
      </c>
      <c r="AF14" s="6">
        <v>5.5124312000000002E-2</v>
      </c>
    </row>
    <row r="15" spans="1:32" x14ac:dyDescent="0.2">
      <c r="A15" s="2" t="s">
        <v>11</v>
      </c>
      <c r="B15" s="4" t="s">
        <v>51</v>
      </c>
      <c r="C15" s="4" t="s">
        <v>41</v>
      </c>
      <c r="D15" s="4">
        <v>6.8</v>
      </c>
      <c r="E15" s="7">
        <v>0.999720728</v>
      </c>
      <c r="F15" s="7">
        <v>2.9952300000000001E-5</v>
      </c>
      <c r="G15" s="7">
        <v>2.7927200000000001E-4</v>
      </c>
      <c r="H15" s="7">
        <v>2.9952300000000001E-5</v>
      </c>
      <c r="I15" s="4">
        <v>0</v>
      </c>
      <c r="J15" s="4">
        <v>0</v>
      </c>
      <c r="K15" s="6">
        <v>3626.5491459999998</v>
      </c>
      <c r="L15" s="6">
        <v>679.82845980000002</v>
      </c>
      <c r="M15" s="6">
        <v>0</v>
      </c>
      <c r="N15" s="6">
        <v>0</v>
      </c>
      <c r="O15" s="6">
        <v>0</v>
      </c>
      <c r="P15" s="6">
        <v>0</v>
      </c>
      <c r="Q15" s="6">
        <v>1.0127920530000001</v>
      </c>
      <c r="R15" s="6">
        <v>0.21871917599999999</v>
      </c>
      <c r="S15" s="6">
        <v>3625.5363539999998</v>
      </c>
      <c r="T15" s="6">
        <v>679.63861169999996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0.38525176799999999</v>
      </c>
      <c r="AD15" s="6">
        <v>5.8432735E-2</v>
      </c>
      <c r="AE15" s="6">
        <v>0.61474823199999995</v>
      </c>
      <c r="AF15" s="6">
        <v>5.8432735E-2</v>
      </c>
    </row>
    <row r="16" spans="1:32" x14ac:dyDescent="0.2">
      <c r="A16" s="2" t="s">
        <v>52</v>
      </c>
      <c r="B16" s="4" t="s">
        <v>53</v>
      </c>
      <c r="C16" s="4" t="s">
        <v>41</v>
      </c>
      <c r="D16" s="4">
        <v>6.8</v>
      </c>
      <c r="E16" s="7">
        <v>0.99973665300000003</v>
      </c>
      <c r="F16" s="7">
        <v>7.4772799999999997E-5</v>
      </c>
      <c r="G16" s="7">
        <v>2.6334699999999998E-4</v>
      </c>
      <c r="H16" s="7">
        <v>7.4772799999999997E-5</v>
      </c>
      <c r="I16" s="4">
        <v>0</v>
      </c>
      <c r="J16" s="4">
        <v>0</v>
      </c>
      <c r="K16" s="6">
        <v>2186.8462880000002</v>
      </c>
      <c r="L16" s="6">
        <v>778.75016119999998</v>
      </c>
      <c r="M16" s="6">
        <v>0</v>
      </c>
      <c r="N16" s="6">
        <v>0</v>
      </c>
      <c r="O16" s="6">
        <v>0</v>
      </c>
      <c r="P16" s="6">
        <v>0</v>
      </c>
      <c r="Q16" s="6">
        <v>0.57589919000000001</v>
      </c>
      <c r="R16" s="6">
        <v>0.26226323299999998</v>
      </c>
      <c r="S16" s="6">
        <v>2186.2703889999998</v>
      </c>
      <c r="T16" s="6">
        <v>778.54509689999998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0.29608283699999999</v>
      </c>
      <c r="AD16" s="6">
        <v>6.2674516E-2</v>
      </c>
      <c r="AE16" s="6">
        <v>0.70391716299999996</v>
      </c>
      <c r="AF16" s="6">
        <v>6.2674516E-2</v>
      </c>
    </row>
    <row r="17" spans="1:32" x14ac:dyDescent="0.2">
      <c r="A17" s="2">
        <v>100</v>
      </c>
      <c r="B17" s="9" t="s">
        <v>84</v>
      </c>
      <c r="C17" s="4" t="s">
        <v>39</v>
      </c>
      <c r="D17" s="4">
        <v>6.9</v>
      </c>
      <c r="E17" s="4">
        <f>1-G17</f>
        <v>0.99836000000000003</v>
      </c>
      <c r="F17" s="4">
        <f>H17</f>
        <v>2.0000000000000002E-5</v>
      </c>
      <c r="G17" s="4">
        <f>0.164/100</f>
        <v>1.64E-3</v>
      </c>
      <c r="H17" s="9">
        <f>0.002/100</f>
        <v>2.0000000000000002E-5</v>
      </c>
      <c r="I17" s="4">
        <v>0</v>
      </c>
      <c r="J17" s="4">
        <v>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>
        <v>0.65</v>
      </c>
      <c r="AD17" s="10">
        <v>5.9243377999999999E-2</v>
      </c>
      <c r="AE17" s="4">
        <v>0.35</v>
      </c>
      <c r="AF17" s="10">
        <v>5.9243377999999999E-2</v>
      </c>
    </row>
    <row r="18" spans="1:32" x14ac:dyDescent="0.2">
      <c r="A18" s="2">
        <v>101</v>
      </c>
      <c r="B18" s="4" t="s">
        <v>85</v>
      </c>
      <c r="C18" s="4" t="s">
        <v>39</v>
      </c>
      <c r="D18" s="4">
        <v>6.9</v>
      </c>
      <c r="E18" s="4">
        <f t="shared" ref="E18:E21" si="0">1-G18</f>
        <v>0.99914000000000003</v>
      </c>
      <c r="F18" s="4">
        <f t="shared" ref="F18:F21" si="1">H18</f>
        <v>1.4000000000000001E-4</v>
      </c>
      <c r="G18" s="4">
        <f>0.086/100</f>
        <v>8.5999999999999998E-4</v>
      </c>
      <c r="H18" s="9">
        <f>0.014/100</f>
        <v>1.4000000000000001E-4</v>
      </c>
      <c r="I18" s="4">
        <v>0</v>
      </c>
      <c r="J18" s="4">
        <v>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>
        <v>0.6</v>
      </c>
      <c r="AD18" s="10">
        <v>5.9736162000000002E-2</v>
      </c>
      <c r="AE18" s="4">
        <v>0.4</v>
      </c>
      <c r="AF18" s="10">
        <v>5.9736162000000002E-2</v>
      </c>
    </row>
    <row r="19" spans="1:32" x14ac:dyDescent="0.2">
      <c r="A19" s="2">
        <v>102</v>
      </c>
      <c r="B19" s="4" t="s">
        <v>86</v>
      </c>
      <c r="C19" s="4" t="s">
        <v>39</v>
      </c>
      <c r="D19" s="4">
        <v>6.9</v>
      </c>
      <c r="E19" s="4">
        <f t="shared" si="0"/>
        <v>0.99739</v>
      </c>
      <c r="F19" s="4">
        <f t="shared" si="1"/>
        <v>8.9999999999999992E-5</v>
      </c>
      <c r="G19" s="4">
        <f>0.261/100</f>
        <v>2.6099999999999999E-3</v>
      </c>
      <c r="H19" s="9">
        <f>0.009/100</f>
        <v>8.9999999999999992E-5</v>
      </c>
      <c r="I19" s="4">
        <v>0</v>
      </c>
      <c r="J19" s="4">
        <v>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>
        <v>0.79</v>
      </c>
      <c r="AD19" s="10">
        <v>5.9441011000000002E-2</v>
      </c>
      <c r="AE19" s="4">
        <v>0.21</v>
      </c>
      <c r="AF19" s="10">
        <v>5.9441011000000002E-2</v>
      </c>
    </row>
    <row r="20" spans="1:32" x14ac:dyDescent="0.2">
      <c r="A20" s="2">
        <v>103</v>
      </c>
      <c r="B20" s="4" t="s">
        <v>87</v>
      </c>
      <c r="C20" s="4" t="s">
        <v>39</v>
      </c>
      <c r="D20" s="4">
        <v>6.9</v>
      </c>
      <c r="E20" s="4">
        <f t="shared" si="0"/>
        <v>0.99748999999999999</v>
      </c>
      <c r="F20" s="4">
        <f t="shared" si="1"/>
        <v>6.0000000000000002E-5</v>
      </c>
      <c r="G20" s="4">
        <f>0.251/100</f>
        <v>2.5100000000000001E-3</v>
      </c>
      <c r="H20" s="9">
        <f>0.006/100</f>
        <v>6.0000000000000002E-5</v>
      </c>
      <c r="I20" s="4">
        <v>0</v>
      </c>
      <c r="J20" s="4">
        <v>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>
        <v>0.66800000000000004</v>
      </c>
      <c r="AD20" s="10">
        <v>0.06</v>
      </c>
      <c r="AE20" s="4">
        <v>0.33199999999999996</v>
      </c>
      <c r="AF20" s="10">
        <v>0.06</v>
      </c>
    </row>
    <row r="21" spans="1:32" x14ac:dyDescent="0.2">
      <c r="A21" s="2">
        <v>104</v>
      </c>
      <c r="B21" s="9" t="s">
        <v>88</v>
      </c>
      <c r="C21" s="4" t="s">
        <v>39</v>
      </c>
      <c r="D21" s="4">
        <v>6.9</v>
      </c>
      <c r="E21" s="4">
        <f t="shared" si="0"/>
        <v>0.99895999999999996</v>
      </c>
      <c r="F21" s="4">
        <f t="shared" si="1"/>
        <v>8.0000000000000007E-5</v>
      </c>
      <c r="G21" s="4">
        <f>0.104/100</f>
        <v>1.0399999999999999E-3</v>
      </c>
      <c r="H21" s="9">
        <f>0.008/100</f>
        <v>8.0000000000000007E-5</v>
      </c>
      <c r="I21" s="4">
        <v>0</v>
      </c>
      <c r="J21" s="4">
        <v>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>
        <v>0.65300000000000002</v>
      </c>
      <c r="AD21" s="11">
        <v>0.06</v>
      </c>
      <c r="AE21" s="4">
        <v>0.34699999999999998</v>
      </c>
      <c r="AF21" s="11">
        <v>0.06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BC90-2FED-4F45-92AA-A8181AEA2B76}">
  <dimension ref="A1:AF8"/>
  <sheetViews>
    <sheetView topLeftCell="T1" workbookViewId="0">
      <selection activeCell="AC21" sqref="AC21"/>
    </sheetView>
  </sheetViews>
  <sheetFormatPr baseColWidth="10" defaultRowHeight="16" x14ac:dyDescent="0.2"/>
  <cols>
    <col min="2" max="2" width="17.1640625" customWidth="1"/>
  </cols>
  <sheetData>
    <row r="1" spans="1:32" x14ac:dyDescent="0.2">
      <c r="A1" s="4"/>
      <c r="B1" s="2" t="s">
        <v>14</v>
      </c>
      <c r="C1" s="2" t="s">
        <v>38</v>
      </c>
      <c r="D1" s="2" t="s">
        <v>35</v>
      </c>
      <c r="E1" s="1" t="s">
        <v>54</v>
      </c>
      <c r="F1" s="1" t="s">
        <v>55</v>
      </c>
      <c r="G1" s="1" t="s">
        <v>56</v>
      </c>
      <c r="H1" s="1" t="s">
        <v>79</v>
      </c>
      <c r="I1" s="1" t="s">
        <v>57</v>
      </c>
      <c r="J1" s="1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72</v>
      </c>
      <c r="R1" s="3" t="s">
        <v>73</v>
      </c>
      <c r="S1" s="3" t="s">
        <v>67</v>
      </c>
      <c r="T1" s="3" t="s">
        <v>74</v>
      </c>
      <c r="U1" s="3" t="s">
        <v>68</v>
      </c>
      <c r="V1" s="8" t="s">
        <v>75</v>
      </c>
      <c r="W1" s="3" t="s">
        <v>69</v>
      </c>
      <c r="X1" s="3" t="s">
        <v>76</v>
      </c>
      <c r="Y1" s="3" t="s">
        <v>70</v>
      </c>
      <c r="Z1" s="8" t="s">
        <v>77</v>
      </c>
      <c r="AA1" s="3" t="s">
        <v>71</v>
      </c>
      <c r="AB1" s="3" t="s">
        <v>78</v>
      </c>
      <c r="AC1" s="3" t="s">
        <v>80</v>
      </c>
      <c r="AD1" s="3" t="s">
        <v>81</v>
      </c>
      <c r="AE1" s="3" t="s">
        <v>82</v>
      </c>
      <c r="AF1" s="3" t="s">
        <v>83</v>
      </c>
    </row>
    <row r="2" spans="1:32" x14ac:dyDescent="0.2">
      <c r="A2" s="2" t="s">
        <v>25</v>
      </c>
      <c r="B2" s="4" t="s">
        <v>15</v>
      </c>
      <c r="C2" s="4" t="s">
        <v>39</v>
      </c>
      <c r="D2" s="4">
        <v>6.8</v>
      </c>
      <c r="E2" s="7">
        <v>0.998955908</v>
      </c>
      <c r="F2" s="7">
        <v>1.1315900000000001E-4</v>
      </c>
      <c r="G2" s="7">
        <v>1.0440919999999999E-3</v>
      </c>
      <c r="H2" s="7">
        <v>1.1315900000000001E-4</v>
      </c>
      <c r="I2" s="4">
        <v>0</v>
      </c>
      <c r="J2" s="4">
        <v>0</v>
      </c>
      <c r="K2" s="6">
        <v>1406.6129960000001</v>
      </c>
      <c r="L2" s="6">
        <v>186.28542479999999</v>
      </c>
      <c r="M2" s="6">
        <v>0</v>
      </c>
      <c r="N2" s="6">
        <v>0</v>
      </c>
      <c r="O2" s="6">
        <v>0</v>
      </c>
      <c r="P2" s="6">
        <v>0</v>
      </c>
      <c r="Q2" s="6">
        <v>1.4686333650000001</v>
      </c>
      <c r="R2" s="6">
        <v>0.25122185400000002</v>
      </c>
      <c r="S2" s="6">
        <v>1405.1443630000001</v>
      </c>
      <c r="T2" s="6">
        <v>186.09099359999999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0.676478578</v>
      </c>
      <c r="AD2" s="6">
        <v>5.7400944000000002E-2</v>
      </c>
      <c r="AE2" s="6">
        <v>0.323521422</v>
      </c>
      <c r="AF2" s="6">
        <v>5.7400944000000002E-2</v>
      </c>
    </row>
    <row r="3" spans="1:32" x14ac:dyDescent="0.2">
      <c r="A3" s="2" t="s">
        <v>13</v>
      </c>
      <c r="B3" s="4" t="s">
        <v>16</v>
      </c>
      <c r="C3" s="4" t="s">
        <v>39</v>
      </c>
      <c r="D3" s="4">
        <v>6.9</v>
      </c>
      <c r="E3" s="7">
        <v>0.99772814200000004</v>
      </c>
      <c r="F3" s="7">
        <v>7.5139099999999994E-5</v>
      </c>
      <c r="G3" s="7">
        <v>2.2718579999999999E-3</v>
      </c>
      <c r="H3" s="7">
        <v>7.5139099999999994E-5</v>
      </c>
      <c r="I3" s="4">
        <v>0</v>
      </c>
      <c r="J3" s="4">
        <v>0</v>
      </c>
      <c r="K3" s="6">
        <v>1186.3174220000001</v>
      </c>
      <c r="L3" s="6">
        <v>45.518772269999999</v>
      </c>
      <c r="M3" s="6">
        <v>0</v>
      </c>
      <c r="N3" s="6">
        <v>0</v>
      </c>
      <c r="O3" s="6">
        <v>0</v>
      </c>
      <c r="P3" s="6">
        <v>0</v>
      </c>
      <c r="Q3" s="6">
        <v>2.6951451390000001</v>
      </c>
      <c r="R3" s="6">
        <v>0.13639574800000001</v>
      </c>
      <c r="S3" s="6">
        <v>1183.6222769999999</v>
      </c>
      <c r="T3" s="6">
        <v>45.415447149999999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0.84321677299999998</v>
      </c>
      <c r="AD3" s="6">
        <v>6.4954440000000002E-2</v>
      </c>
      <c r="AE3" s="6">
        <v>0.156783227</v>
      </c>
      <c r="AF3" s="6">
        <v>6.4954440000000002E-2</v>
      </c>
    </row>
    <row r="4" spans="1:32" x14ac:dyDescent="0.2">
      <c r="A4" s="2" t="s">
        <v>27</v>
      </c>
      <c r="B4" s="4" t="s">
        <v>17</v>
      </c>
      <c r="C4" s="4" t="s">
        <v>39</v>
      </c>
      <c r="D4" s="4">
        <v>6.9</v>
      </c>
      <c r="E4" s="7">
        <v>0.99937122700000003</v>
      </c>
      <c r="F4" s="7">
        <v>2.3382000000000001E-5</v>
      </c>
      <c r="G4" s="7">
        <v>6.2877300000000001E-4</v>
      </c>
      <c r="H4" s="7">
        <v>2.3382000000000001E-5</v>
      </c>
      <c r="I4" s="4">
        <v>0</v>
      </c>
      <c r="J4" s="4">
        <v>0</v>
      </c>
      <c r="K4" s="6">
        <v>2841.0497260000002</v>
      </c>
      <c r="L4" s="6">
        <v>159.85000460000001</v>
      </c>
      <c r="M4" s="6">
        <v>0</v>
      </c>
      <c r="N4" s="6">
        <v>0</v>
      </c>
      <c r="O4" s="6">
        <v>0</v>
      </c>
      <c r="P4" s="6">
        <v>0</v>
      </c>
      <c r="Q4" s="6">
        <v>1.786375936</v>
      </c>
      <c r="R4" s="6">
        <v>0.120455269</v>
      </c>
      <c r="S4" s="6">
        <v>2839.2633500000002</v>
      </c>
      <c r="T4" s="6">
        <v>159.74950899999999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0.70623920399999995</v>
      </c>
      <c r="AD4" s="6">
        <v>5.8447563000000001E-2</v>
      </c>
      <c r="AE4" s="6">
        <v>0.29376079599999999</v>
      </c>
      <c r="AF4" s="6">
        <v>5.8447563000000001E-2</v>
      </c>
    </row>
    <row r="5" spans="1:32" x14ac:dyDescent="0.2">
      <c r="A5" s="2" t="s">
        <v>4</v>
      </c>
      <c r="B5" s="4" t="s">
        <v>18</v>
      </c>
      <c r="C5" s="4" t="s">
        <v>39</v>
      </c>
      <c r="D5" s="4">
        <v>6.9</v>
      </c>
      <c r="E5" s="7">
        <v>0.99890762499999997</v>
      </c>
      <c r="F5" s="7">
        <v>1.2446899999999999E-4</v>
      </c>
      <c r="G5" s="7">
        <v>1.092375E-3</v>
      </c>
      <c r="H5" s="7">
        <v>1.2446899999999999E-4</v>
      </c>
      <c r="I5" s="4">
        <v>0</v>
      </c>
      <c r="J5" s="4">
        <v>0</v>
      </c>
      <c r="K5" s="6">
        <v>2113.3050819999999</v>
      </c>
      <c r="L5" s="6">
        <v>290.357415</v>
      </c>
      <c r="M5" s="6">
        <v>0</v>
      </c>
      <c r="N5" s="6">
        <v>0</v>
      </c>
      <c r="O5" s="6">
        <v>0</v>
      </c>
      <c r="P5" s="6">
        <v>0</v>
      </c>
      <c r="Q5" s="6">
        <v>2.3085213200000001</v>
      </c>
      <c r="R5" s="6">
        <v>0.41187591699999998</v>
      </c>
      <c r="S5" s="6">
        <v>2110.9965609999999</v>
      </c>
      <c r="T5" s="6">
        <v>290.04035479999999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0.737413922</v>
      </c>
      <c r="AD5" s="6">
        <v>5.9657429999999997E-2</v>
      </c>
      <c r="AE5" s="6">
        <v>0.262586078</v>
      </c>
      <c r="AF5" s="6">
        <v>5.9657429999999997E-2</v>
      </c>
    </row>
    <row r="6" spans="1:32" x14ac:dyDescent="0.2">
      <c r="A6" s="2" t="s">
        <v>29</v>
      </c>
      <c r="B6" s="4" t="s">
        <v>19</v>
      </c>
      <c r="C6" s="4" t="s">
        <v>39</v>
      </c>
      <c r="D6" s="4">
        <v>6.9</v>
      </c>
      <c r="E6" s="7">
        <v>0.95881112999999996</v>
      </c>
      <c r="F6" s="7">
        <v>6.5788829999999998E-3</v>
      </c>
      <c r="G6" s="7">
        <v>4.1188870000000002E-2</v>
      </c>
      <c r="H6" s="7">
        <v>6.5788829999999998E-3</v>
      </c>
      <c r="I6" s="4">
        <v>0</v>
      </c>
      <c r="J6" s="4">
        <v>0</v>
      </c>
      <c r="K6" s="6">
        <v>12.745197559999999</v>
      </c>
      <c r="L6" s="6">
        <v>2.869647295</v>
      </c>
      <c r="M6" s="6">
        <v>0</v>
      </c>
      <c r="N6" s="6">
        <v>0</v>
      </c>
      <c r="O6" s="6">
        <v>0</v>
      </c>
      <c r="P6" s="6">
        <v>0</v>
      </c>
      <c r="Q6" s="6">
        <v>0.52496028500000003</v>
      </c>
      <c r="R6" s="6">
        <v>0.142989585</v>
      </c>
      <c r="S6" s="6">
        <v>12.220237279999999</v>
      </c>
      <c r="T6" s="6">
        <v>2.752626233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0.75524955199999999</v>
      </c>
      <c r="AD6" s="6">
        <v>6.0631584000000002E-2</v>
      </c>
      <c r="AE6" s="6">
        <v>0.24475044800000001</v>
      </c>
      <c r="AF6" s="6">
        <v>6.0631584000000002E-2</v>
      </c>
    </row>
    <row r="7" spans="1:32" x14ac:dyDescent="0.2">
      <c r="A7" s="2" t="s">
        <v>40</v>
      </c>
      <c r="B7" s="4" t="s">
        <v>20</v>
      </c>
      <c r="C7" s="4" t="s">
        <v>41</v>
      </c>
      <c r="D7" s="4">
        <v>6.9</v>
      </c>
      <c r="E7" s="7">
        <v>0.99923901599999998</v>
      </c>
      <c r="F7" s="7">
        <v>2.2476600000000001E-5</v>
      </c>
      <c r="G7" s="7">
        <v>7.6098400000000003E-4</v>
      </c>
      <c r="H7" s="7">
        <v>2.2476600000000001E-5</v>
      </c>
      <c r="I7" s="4">
        <v>0</v>
      </c>
      <c r="J7" s="4">
        <v>0</v>
      </c>
      <c r="K7" s="6">
        <v>7728.7591480000001</v>
      </c>
      <c r="L7" s="6">
        <v>722.5912194</v>
      </c>
      <c r="M7" s="6">
        <v>0</v>
      </c>
      <c r="N7" s="6">
        <v>0</v>
      </c>
      <c r="O7" s="6">
        <v>0</v>
      </c>
      <c r="P7" s="6">
        <v>0</v>
      </c>
      <c r="Q7" s="6">
        <v>5.881462183</v>
      </c>
      <c r="R7" s="6">
        <v>0.57662801100000005</v>
      </c>
      <c r="S7" s="6">
        <v>7722.8776859999998</v>
      </c>
      <c r="T7" s="6">
        <v>722.04135989999997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0.48800538300000001</v>
      </c>
      <c r="AD7" s="6">
        <v>5.6155996E-2</v>
      </c>
      <c r="AE7" s="6">
        <v>0.51199461700000004</v>
      </c>
      <c r="AF7" s="6">
        <v>5.6155996E-2</v>
      </c>
    </row>
    <row r="8" spans="1:32" x14ac:dyDescent="0.2">
      <c r="A8" s="2" t="s">
        <v>32</v>
      </c>
      <c r="B8" s="4" t="s">
        <v>42</v>
      </c>
      <c r="C8" s="4" t="s">
        <v>41</v>
      </c>
      <c r="D8" s="4">
        <v>6.4</v>
      </c>
      <c r="E8" s="7">
        <v>0.97353413499999997</v>
      </c>
      <c r="F8" s="7">
        <v>1.05518E-3</v>
      </c>
      <c r="G8" s="7">
        <v>4.5775299999999998E-4</v>
      </c>
      <c r="H8" s="7">
        <v>8.29237E-5</v>
      </c>
      <c r="I8" s="4">
        <v>0</v>
      </c>
      <c r="J8" s="4">
        <v>0</v>
      </c>
      <c r="K8" s="6">
        <v>2706.2798469999998</v>
      </c>
      <c r="L8" s="6">
        <v>663.06077679999999</v>
      </c>
      <c r="M8" s="6">
        <v>0</v>
      </c>
      <c r="N8" s="6">
        <v>0</v>
      </c>
      <c r="O8" s="6">
        <v>0</v>
      </c>
      <c r="P8" s="6">
        <v>0</v>
      </c>
      <c r="Q8" s="6">
        <v>1.271888221</v>
      </c>
      <c r="R8" s="6">
        <v>0.38748980999999999</v>
      </c>
      <c r="S8" s="6">
        <v>2705.007959</v>
      </c>
      <c r="T8" s="6">
        <v>662.74919379999994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0.34550266400000001</v>
      </c>
      <c r="AD8" s="6">
        <v>5.9639699999999997E-2</v>
      </c>
      <c r="AE8" s="6">
        <v>0.65449733600000004</v>
      </c>
      <c r="AF8" s="6">
        <v>5.9639699999999997E-2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B005-6773-0942-A345-1BB13463B6B0}">
  <dimension ref="A1:AF18"/>
  <sheetViews>
    <sheetView tabSelected="1" workbookViewId="0">
      <selection activeCell="G10" sqref="G10"/>
    </sheetView>
  </sheetViews>
  <sheetFormatPr baseColWidth="10" defaultRowHeight="16" x14ac:dyDescent="0.2"/>
  <cols>
    <col min="2" max="2" width="15.5" bestFit="1" customWidth="1"/>
  </cols>
  <sheetData>
    <row r="1" spans="1:32" x14ac:dyDescent="0.2">
      <c r="A1" s="4"/>
      <c r="B1" s="2" t="s">
        <v>14</v>
      </c>
      <c r="C1" s="2" t="s">
        <v>38</v>
      </c>
      <c r="D1" s="2" t="s">
        <v>35</v>
      </c>
      <c r="E1" s="1" t="s">
        <v>54</v>
      </c>
      <c r="F1" s="1" t="s">
        <v>55</v>
      </c>
      <c r="G1" s="1" t="s">
        <v>56</v>
      </c>
      <c r="H1" s="1" t="s">
        <v>79</v>
      </c>
      <c r="I1" s="1" t="s">
        <v>57</v>
      </c>
      <c r="J1" s="1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72</v>
      </c>
      <c r="R1" s="3" t="s">
        <v>73</v>
      </c>
      <c r="S1" s="3" t="s">
        <v>67</v>
      </c>
      <c r="T1" s="3" t="s">
        <v>74</v>
      </c>
      <c r="U1" s="3" t="s">
        <v>68</v>
      </c>
      <c r="V1" s="8" t="s">
        <v>75</v>
      </c>
      <c r="W1" s="3" t="s">
        <v>69</v>
      </c>
      <c r="X1" s="3" t="s">
        <v>76</v>
      </c>
      <c r="Y1" s="3" t="s">
        <v>70</v>
      </c>
      <c r="Z1" s="8" t="s">
        <v>77</v>
      </c>
      <c r="AA1" s="3" t="s">
        <v>71</v>
      </c>
      <c r="AB1" s="3" t="s">
        <v>78</v>
      </c>
      <c r="AC1" s="3" t="s">
        <v>80</v>
      </c>
      <c r="AD1" s="3" t="s">
        <v>81</v>
      </c>
      <c r="AE1" s="3" t="s">
        <v>82</v>
      </c>
      <c r="AF1" s="3" t="s">
        <v>83</v>
      </c>
    </row>
    <row r="2" spans="1:32" x14ac:dyDescent="0.2">
      <c r="A2" s="2" t="s">
        <v>43</v>
      </c>
      <c r="B2" s="4" t="s">
        <v>15</v>
      </c>
      <c r="C2" s="4" t="s">
        <v>39</v>
      </c>
      <c r="D2" s="4">
        <v>6.8</v>
      </c>
      <c r="E2" s="7">
        <v>0.99838085200000004</v>
      </c>
      <c r="F2" s="7">
        <v>1.7176500000000001E-5</v>
      </c>
      <c r="G2" s="7">
        <v>1.6191479999999999E-3</v>
      </c>
      <c r="H2" s="7">
        <v>1.7176500000000001E-5</v>
      </c>
      <c r="I2" s="4">
        <v>0</v>
      </c>
      <c r="J2" s="4">
        <v>0</v>
      </c>
      <c r="K2" s="6">
        <v>2860.8639790000002</v>
      </c>
      <c r="L2" s="6">
        <v>46.745745829999997</v>
      </c>
      <c r="M2" s="6">
        <v>0</v>
      </c>
      <c r="N2" s="6">
        <v>0</v>
      </c>
      <c r="O2" s="6">
        <v>0</v>
      </c>
      <c r="P2" s="6">
        <v>0</v>
      </c>
      <c r="Q2" s="6">
        <v>4.6321620189999999</v>
      </c>
      <c r="R2" s="6">
        <v>9.0197595000000005E-2</v>
      </c>
      <c r="S2" s="6">
        <v>2856.2318169999999</v>
      </c>
      <c r="T2" s="6">
        <v>46.670083339999998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0.67444225999999996</v>
      </c>
      <c r="AD2" s="6">
        <v>5.7048555000000001E-2</v>
      </c>
      <c r="AE2" s="6">
        <v>0.32555773999999998</v>
      </c>
      <c r="AF2" s="6">
        <v>5.7048555000000001E-2</v>
      </c>
    </row>
    <row r="3" spans="1:32" x14ac:dyDescent="0.2">
      <c r="A3" s="2" t="s">
        <v>1</v>
      </c>
      <c r="B3" s="4" t="s">
        <v>16</v>
      </c>
      <c r="C3" s="4" t="s">
        <v>39</v>
      </c>
      <c r="D3" s="4">
        <v>6.9</v>
      </c>
      <c r="E3" s="7">
        <v>0.99636088</v>
      </c>
      <c r="F3" s="7">
        <v>4.4073299999999997E-5</v>
      </c>
      <c r="G3" s="7">
        <v>3.63912E-3</v>
      </c>
      <c r="H3" s="7">
        <v>4.4073299999999997E-5</v>
      </c>
      <c r="I3" s="4">
        <v>0</v>
      </c>
      <c r="J3" s="4">
        <v>0</v>
      </c>
      <c r="K3" s="6">
        <v>2806.5510610000001</v>
      </c>
      <c r="L3" s="6">
        <v>43.75654917</v>
      </c>
      <c r="M3" s="6">
        <v>0</v>
      </c>
      <c r="N3" s="6">
        <v>0</v>
      </c>
      <c r="O3" s="6">
        <v>0</v>
      </c>
      <c r="P3" s="6">
        <v>0</v>
      </c>
      <c r="Q3" s="6">
        <v>10.21337475</v>
      </c>
      <c r="R3" s="6">
        <v>0.201358132</v>
      </c>
      <c r="S3" s="6">
        <v>2796.3376859999998</v>
      </c>
      <c r="T3" s="6">
        <v>43.597488050000003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0.82225957400000005</v>
      </c>
      <c r="AD3" s="6">
        <v>6.3716271000000005E-2</v>
      </c>
      <c r="AE3" s="6">
        <v>0.17774042600000001</v>
      </c>
      <c r="AF3" s="6">
        <v>6.3716271000000005E-2</v>
      </c>
    </row>
    <row r="4" spans="1:32" x14ac:dyDescent="0.2">
      <c r="A4" s="2" t="s">
        <v>2</v>
      </c>
      <c r="B4" s="4" t="s">
        <v>17</v>
      </c>
      <c r="C4" s="4" t="s">
        <v>39</v>
      </c>
      <c r="D4" s="4">
        <v>6.9</v>
      </c>
      <c r="E4" s="7">
        <v>0.99876670099999998</v>
      </c>
      <c r="F4" s="7">
        <v>9.7600600000000005E-6</v>
      </c>
      <c r="G4" s="7">
        <v>1.233299E-3</v>
      </c>
      <c r="H4" s="7">
        <v>9.7600600000000005E-6</v>
      </c>
      <c r="I4" s="4">
        <v>0</v>
      </c>
      <c r="J4" s="4">
        <v>0</v>
      </c>
      <c r="K4" s="6">
        <v>6366.1526210000002</v>
      </c>
      <c r="L4" s="6">
        <v>110.9650839</v>
      </c>
      <c r="M4" s="6">
        <v>0</v>
      </c>
      <c r="N4" s="6">
        <v>0</v>
      </c>
      <c r="O4" s="6">
        <v>0</v>
      </c>
      <c r="P4" s="6">
        <v>0</v>
      </c>
      <c r="Q4" s="6">
        <v>7.8513715910000004</v>
      </c>
      <c r="R4" s="6">
        <v>0.15026615199999999</v>
      </c>
      <c r="S4" s="6">
        <v>6358.3012490000001</v>
      </c>
      <c r="T4" s="6">
        <v>110.8282481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0.70285073399999998</v>
      </c>
      <c r="AD4" s="6">
        <v>5.8138574999999998E-2</v>
      </c>
      <c r="AE4" s="6">
        <v>0.29714926600000002</v>
      </c>
      <c r="AF4" s="6">
        <v>5.8138574999999998E-2</v>
      </c>
    </row>
    <row r="5" spans="1:32" x14ac:dyDescent="0.2">
      <c r="A5" s="2" t="s">
        <v>44</v>
      </c>
      <c r="B5" s="4" t="s">
        <v>18</v>
      </c>
      <c r="C5" s="4" t="s">
        <v>39</v>
      </c>
      <c r="D5" s="4">
        <v>6.9</v>
      </c>
      <c r="E5" s="7">
        <v>0.99742749399999997</v>
      </c>
      <c r="F5" s="7">
        <v>6.7507600000000004E-5</v>
      </c>
      <c r="G5" s="7">
        <v>2.572506E-3</v>
      </c>
      <c r="H5" s="7">
        <v>6.7507600000000004E-5</v>
      </c>
      <c r="I5" s="4">
        <v>0</v>
      </c>
      <c r="J5" s="4">
        <v>0</v>
      </c>
      <c r="K5" s="6">
        <v>2849.3544780000002</v>
      </c>
      <c r="L5" s="6">
        <v>100.84942839999999</v>
      </c>
      <c r="M5" s="6">
        <v>0</v>
      </c>
      <c r="N5" s="6">
        <v>0</v>
      </c>
      <c r="O5" s="6">
        <v>0</v>
      </c>
      <c r="P5" s="6">
        <v>0</v>
      </c>
      <c r="Q5" s="6">
        <v>7.3299828949999997</v>
      </c>
      <c r="R5" s="6">
        <v>0.32267132799999998</v>
      </c>
      <c r="S5" s="6">
        <v>2842.0244950000001</v>
      </c>
      <c r="T5" s="6">
        <v>100.5901755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0.73105464099999995</v>
      </c>
      <c r="AD5" s="6">
        <v>5.9243377999999999E-2</v>
      </c>
      <c r="AE5" s="6">
        <v>0.26894535899999999</v>
      </c>
      <c r="AF5" s="6">
        <v>5.9243377999999999E-2</v>
      </c>
    </row>
    <row r="6" spans="1:32" x14ac:dyDescent="0.2">
      <c r="A6" s="2" t="s">
        <v>8</v>
      </c>
      <c r="B6" s="4" t="s">
        <v>19</v>
      </c>
      <c r="C6" s="4" t="s">
        <v>39</v>
      </c>
      <c r="D6" s="4">
        <v>6.9</v>
      </c>
      <c r="E6" s="7">
        <v>0.99797975900000002</v>
      </c>
      <c r="F6" s="7">
        <v>9.5750999999999999E-5</v>
      </c>
      <c r="G6" s="7">
        <v>2.0202409999999999E-3</v>
      </c>
      <c r="H6" s="7">
        <v>9.5750999999999999E-5</v>
      </c>
      <c r="I6" s="4">
        <v>0</v>
      </c>
      <c r="J6" s="4">
        <v>0</v>
      </c>
      <c r="K6" s="6">
        <v>1309.0842909999999</v>
      </c>
      <c r="L6" s="6">
        <v>71.842076570000003</v>
      </c>
      <c r="M6" s="6">
        <v>0</v>
      </c>
      <c r="N6" s="6">
        <v>0</v>
      </c>
      <c r="O6" s="6">
        <v>0</v>
      </c>
      <c r="P6" s="6">
        <v>0</v>
      </c>
      <c r="Q6" s="6">
        <v>2.644666328</v>
      </c>
      <c r="R6" s="6">
        <v>0.191607471</v>
      </c>
      <c r="S6" s="6">
        <v>1306.439625</v>
      </c>
      <c r="T6" s="6">
        <v>71.697047350000005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0.73584242099999997</v>
      </c>
      <c r="AD6" s="6">
        <v>5.9441011000000002E-2</v>
      </c>
      <c r="AE6" s="6">
        <v>0.26415757899999998</v>
      </c>
      <c r="AF6" s="6">
        <v>5.9441011000000002E-2</v>
      </c>
    </row>
    <row r="7" spans="1:32" x14ac:dyDescent="0.2">
      <c r="A7" s="2" t="s">
        <v>46</v>
      </c>
      <c r="B7" s="4" t="s">
        <v>20</v>
      </c>
      <c r="C7" s="4" t="s">
        <v>41</v>
      </c>
      <c r="D7" s="4">
        <v>6.9</v>
      </c>
      <c r="E7" s="7">
        <v>0.99846032900000004</v>
      </c>
      <c r="F7" s="7">
        <v>2.5102499999999999E-5</v>
      </c>
      <c r="G7" s="7">
        <v>1.5396710000000001E-3</v>
      </c>
      <c r="H7" s="7">
        <v>2.5102499999999999E-5</v>
      </c>
      <c r="I7" s="4">
        <v>0</v>
      </c>
      <c r="J7" s="4">
        <v>0</v>
      </c>
      <c r="K7" s="6">
        <v>12153.25769</v>
      </c>
      <c r="L7" s="6">
        <v>229.9231734</v>
      </c>
      <c r="M7" s="6">
        <v>0</v>
      </c>
      <c r="N7" s="6">
        <v>0</v>
      </c>
      <c r="O7" s="6">
        <v>0</v>
      </c>
      <c r="P7" s="6">
        <v>0</v>
      </c>
      <c r="Q7" s="6">
        <v>18.71201915</v>
      </c>
      <c r="R7" s="6">
        <v>0.46701872999999999</v>
      </c>
      <c r="S7" s="6">
        <v>12134.54567</v>
      </c>
      <c r="T7" s="6">
        <v>229.5693694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0.47250075400000002</v>
      </c>
      <c r="AD7" s="6">
        <v>5.4870601999999997E-2</v>
      </c>
      <c r="AE7" s="6">
        <v>0.52749924599999998</v>
      </c>
      <c r="AF7" s="6">
        <v>5.4870601999999997E-2</v>
      </c>
    </row>
    <row r="8" spans="1:32" x14ac:dyDescent="0.2">
      <c r="A8" s="2" t="s">
        <v>47</v>
      </c>
      <c r="B8" s="4" t="s">
        <v>34</v>
      </c>
      <c r="C8" s="4" t="s">
        <v>41</v>
      </c>
      <c r="D8" s="4">
        <v>6.4</v>
      </c>
      <c r="E8" s="7">
        <v>0.99910415100000005</v>
      </c>
      <c r="F8" s="7">
        <v>9.0082999999999998E-5</v>
      </c>
      <c r="G8" s="7">
        <v>8.9584899999999999E-4</v>
      </c>
      <c r="H8" s="7">
        <v>9.0082999999999998E-5</v>
      </c>
      <c r="I8" s="4">
        <v>0</v>
      </c>
      <c r="J8" s="4">
        <v>0</v>
      </c>
      <c r="K8" s="6">
        <v>1893.6913010000001</v>
      </c>
      <c r="L8" s="6">
        <v>238.59528890000001</v>
      </c>
      <c r="M8" s="6">
        <v>0</v>
      </c>
      <c r="N8" s="6">
        <v>0</v>
      </c>
      <c r="O8" s="6">
        <v>0</v>
      </c>
      <c r="P8" s="6">
        <v>0</v>
      </c>
      <c r="Q8" s="6">
        <v>1.6964619919999999</v>
      </c>
      <c r="R8" s="6">
        <v>0.27337836599999998</v>
      </c>
      <c r="S8" s="6">
        <v>1891.994839</v>
      </c>
      <c r="T8" s="6">
        <v>238.38160439999999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0.47854395599999999</v>
      </c>
      <c r="AD8" s="6">
        <v>5.5022050000000003E-2</v>
      </c>
      <c r="AE8" s="6">
        <v>0.52145604400000001</v>
      </c>
      <c r="AF8" s="6">
        <v>5.5022050000000003E-2</v>
      </c>
    </row>
    <row r="9" spans="1:32" x14ac:dyDescent="0.2">
      <c r="A9" s="2" t="s">
        <v>31</v>
      </c>
      <c r="B9" s="4" t="s">
        <v>21</v>
      </c>
      <c r="C9" s="4" t="s">
        <v>41</v>
      </c>
      <c r="D9" s="4">
        <v>6.9</v>
      </c>
      <c r="E9" s="7">
        <v>0.99811309299999995</v>
      </c>
      <c r="F9" s="7">
        <v>2.31825E-5</v>
      </c>
      <c r="G9" s="7">
        <v>1.886907E-3</v>
      </c>
      <c r="H9" s="7">
        <v>2.31825E-5</v>
      </c>
      <c r="I9" s="4">
        <v>0</v>
      </c>
      <c r="J9" s="4">
        <v>0</v>
      </c>
      <c r="K9" s="6">
        <v>8855.6214909999999</v>
      </c>
      <c r="L9" s="6">
        <v>197.17562699999999</v>
      </c>
      <c r="M9" s="6">
        <v>0</v>
      </c>
      <c r="N9" s="6">
        <v>0</v>
      </c>
      <c r="O9" s="6">
        <v>0</v>
      </c>
      <c r="P9" s="6">
        <v>0</v>
      </c>
      <c r="Q9" s="6">
        <v>16.709736920000001</v>
      </c>
      <c r="R9" s="6">
        <v>0.42474708300000003</v>
      </c>
      <c r="S9" s="6">
        <v>8838.9117540000007</v>
      </c>
      <c r="T9" s="6">
        <v>196.80368150000001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0.52303407099999999</v>
      </c>
      <c r="AD9" s="6">
        <v>5.4552005000000001E-2</v>
      </c>
      <c r="AE9" s="6">
        <v>0.47696592900000001</v>
      </c>
      <c r="AF9" s="6">
        <v>5.4552005000000001E-2</v>
      </c>
    </row>
    <row r="10" spans="1:32" x14ac:dyDescent="0.2">
      <c r="A10" s="2" t="s">
        <v>48</v>
      </c>
      <c r="B10" s="4" t="s">
        <v>49</v>
      </c>
      <c r="C10" s="4" t="s">
        <v>41</v>
      </c>
      <c r="D10" s="4">
        <v>6.4</v>
      </c>
      <c r="E10" s="7">
        <v>0.99909862699999996</v>
      </c>
      <c r="F10" s="7">
        <v>1.79705E-4</v>
      </c>
      <c r="G10" s="7">
        <v>9.0137300000000002E-4</v>
      </c>
      <c r="H10" s="7">
        <v>1.79705E-4</v>
      </c>
      <c r="I10" s="4">
        <v>0</v>
      </c>
      <c r="J10" s="4">
        <v>0</v>
      </c>
      <c r="K10" s="6">
        <v>3043.455449</v>
      </c>
      <c r="L10" s="6">
        <v>817.52047230000005</v>
      </c>
      <c r="M10" s="6">
        <v>0</v>
      </c>
      <c r="N10" s="6">
        <v>0</v>
      </c>
      <c r="O10" s="6">
        <v>0</v>
      </c>
      <c r="P10" s="6">
        <v>0</v>
      </c>
      <c r="Q10" s="6">
        <v>2.7432884660000001</v>
      </c>
      <c r="R10" s="6">
        <v>0.91738568600000003</v>
      </c>
      <c r="S10" s="6">
        <v>3040.7121609999999</v>
      </c>
      <c r="T10" s="6">
        <v>816.78376419999995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0.218686879</v>
      </c>
      <c r="AD10" s="6">
        <v>6.7054922000000003E-2</v>
      </c>
      <c r="AE10" s="6">
        <v>0.78131312100000005</v>
      </c>
      <c r="AF10" s="6">
        <v>6.7054922000000003E-2</v>
      </c>
    </row>
    <row r="11" spans="1:32" x14ac:dyDescent="0.2">
      <c r="A11" s="2" t="s">
        <v>50</v>
      </c>
      <c r="B11" s="4" t="s">
        <v>22</v>
      </c>
      <c r="C11" s="4" t="s">
        <v>41</v>
      </c>
      <c r="D11" s="4">
        <v>6.4</v>
      </c>
      <c r="E11" s="7">
        <v>0.99776517200000003</v>
      </c>
      <c r="F11" s="7">
        <v>1.49355E-4</v>
      </c>
      <c r="G11" s="7">
        <v>2.2348279999999999E-3</v>
      </c>
      <c r="H11" s="7">
        <v>1.49355E-4</v>
      </c>
      <c r="I11" s="4">
        <v>0</v>
      </c>
      <c r="J11" s="4">
        <v>0</v>
      </c>
      <c r="K11" s="6">
        <v>9762.7155619999994</v>
      </c>
      <c r="L11" s="6">
        <v>697.45643489999998</v>
      </c>
      <c r="M11" s="6">
        <v>0</v>
      </c>
      <c r="N11" s="6">
        <v>0</v>
      </c>
      <c r="O11" s="6">
        <v>0</v>
      </c>
      <c r="P11" s="6">
        <v>0</v>
      </c>
      <c r="Q11" s="6">
        <v>21.817994410000001</v>
      </c>
      <c r="R11" s="6">
        <v>2.1321644750000002</v>
      </c>
      <c r="S11" s="6">
        <v>9740.8975680000003</v>
      </c>
      <c r="T11" s="6">
        <v>695.89926019999996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0.50818821800000002</v>
      </c>
      <c r="AD11" s="6">
        <v>5.5124312000000002E-2</v>
      </c>
      <c r="AE11" s="6">
        <v>0.49181178199999998</v>
      </c>
      <c r="AF11" s="6">
        <v>5.5124312000000002E-2</v>
      </c>
    </row>
    <row r="12" spans="1:32" x14ac:dyDescent="0.2">
      <c r="A12" s="2" t="s">
        <v>11</v>
      </c>
      <c r="B12" s="4" t="s">
        <v>51</v>
      </c>
      <c r="C12" s="4" t="s">
        <v>41</v>
      </c>
      <c r="D12" s="4">
        <v>6.8</v>
      </c>
      <c r="E12" s="7">
        <v>0.999720728</v>
      </c>
      <c r="F12" s="7">
        <v>2.9952300000000001E-5</v>
      </c>
      <c r="G12" s="7">
        <v>2.7927200000000001E-4</v>
      </c>
      <c r="H12" s="7">
        <v>2.9952300000000001E-5</v>
      </c>
      <c r="I12" s="4">
        <v>0</v>
      </c>
      <c r="J12" s="4">
        <v>0</v>
      </c>
      <c r="K12" s="6">
        <v>3626.5491459999998</v>
      </c>
      <c r="L12" s="6">
        <v>679.82845980000002</v>
      </c>
      <c r="M12" s="6">
        <v>0</v>
      </c>
      <c r="N12" s="6">
        <v>0</v>
      </c>
      <c r="O12" s="6">
        <v>0</v>
      </c>
      <c r="P12" s="6">
        <v>0</v>
      </c>
      <c r="Q12" s="6">
        <v>1.0127920530000001</v>
      </c>
      <c r="R12" s="6">
        <v>0.21871917599999999</v>
      </c>
      <c r="S12" s="6">
        <v>3625.5363539999998</v>
      </c>
      <c r="T12" s="6">
        <v>679.63861169999996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0.38525176799999999</v>
      </c>
      <c r="AD12" s="6">
        <v>5.8432735E-2</v>
      </c>
      <c r="AE12" s="6">
        <v>0.61474823199999995</v>
      </c>
      <c r="AF12" s="6">
        <v>5.8432735E-2</v>
      </c>
    </row>
    <row r="13" spans="1:32" x14ac:dyDescent="0.2">
      <c r="A13" s="2" t="s">
        <v>52</v>
      </c>
      <c r="B13" s="4" t="s">
        <v>53</v>
      </c>
      <c r="C13" s="4" t="s">
        <v>41</v>
      </c>
      <c r="D13" s="4">
        <v>6.8</v>
      </c>
      <c r="E13" s="7">
        <v>0.99973665300000003</v>
      </c>
      <c r="F13" s="7">
        <v>7.4772799999999997E-5</v>
      </c>
      <c r="G13" s="7">
        <v>2.6334699999999998E-4</v>
      </c>
      <c r="H13" s="7">
        <v>7.4772799999999997E-5</v>
      </c>
      <c r="I13" s="4">
        <v>0</v>
      </c>
      <c r="J13" s="4">
        <v>0</v>
      </c>
      <c r="K13" s="6">
        <v>2186.8462880000002</v>
      </c>
      <c r="L13" s="6">
        <v>778.75016119999998</v>
      </c>
      <c r="M13" s="6">
        <v>0</v>
      </c>
      <c r="N13" s="6">
        <v>0</v>
      </c>
      <c r="O13" s="6">
        <v>0</v>
      </c>
      <c r="P13" s="6">
        <v>0</v>
      </c>
      <c r="Q13" s="6">
        <v>0.57589919000000001</v>
      </c>
      <c r="R13" s="6">
        <v>0.26226323299999998</v>
      </c>
      <c r="S13" s="6">
        <v>2186.2703889999998</v>
      </c>
      <c r="T13" s="6">
        <v>778.54509689999998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0.29608283699999999</v>
      </c>
      <c r="AD13" s="6">
        <v>6.2674516E-2</v>
      </c>
      <c r="AE13" s="6">
        <v>0.70391716299999996</v>
      </c>
      <c r="AF13" s="6">
        <v>6.2674516E-2</v>
      </c>
    </row>
    <row r="14" spans="1:32" x14ac:dyDescent="0.2">
      <c r="A14" s="2">
        <v>100</v>
      </c>
      <c r="B14" s="9" t="s">
        <v>84</v>
      </c>
      <c r="C14" s="4" t="s">
        <v>39</v>
      </c>
      <c r="D14" s="4">
        <v>6.9</v>
      </c>
      <c r="E14" s="4">
        <f>1-G14</f>
        <v>0.99836000000000003</v>
      </c>
      <c r="F14" s="4">
        <f>H14</f>
        <v>2.0000000000000002E-5</v>
      </c>
      <c r="G14" s="4">
        <f>0.164/100</f>
        <v>1.64E-3</v>
      </c>
      <c r="H14" s="9">
        <f>0.002/100</f>
        <v>2.0000000000000002E-5</v>
      </c>
      <c r="I14" s="4">
        <v>0</v>
      </c>
      <c r="J14" s="4">
        <v>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>
        <v>0.65</v>
      </c>
      <c r="AD14" s="10">
        <v>5.9243377999999999E-2</v>
      </c>
      <c r="AE14" s="4">
        <v>0.35</v>
      </c>
      <c r="AF14" s="10">
        <v>5.9243377999999999E-2</v>
      </c>
    </row>
    <row r="15" spans="1:32" x14ac:dyDescent="0.2">
      <c r="A15" s="2">
        <v>101</v>
      </c>
      <c r="B15" s="4" t="s">
        <v>85</v>
      </c>
      <c r="C15" s="4" t="s">
        <v>39</v>
      </c>
      <c r="D15" s="4">
        <v>6.9</v>
      </c>
      <c r="E15" s="4">
        <f t="shared" ref="E15:E18" si="0">1-G15</f>
        <v>0.99914000000000003</v>
      </c>
      <c r="F15" s="4">
        <f t="shared" ref="F15:F18" si="1">H15</f>
        <v>1.4000000000000001E-4</v>
      </c>
      <c r="G15" s="4">
        <f>0.086/100</f>
        <v>8.5999999999999998E-4</v>
      </c>
      <c r="H15" s="9">
        <f>0.014/100</f>
        <v>1.4000000000000001E-4</v>
      </c>
      <c r="I15" s="4">
        <v>0</v>
      </c>
      <c r="J15" s="4">
        <v>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>
        <v>0.6</v>
      </c>
      <c r="AD15" s="10">
        <v>5.9736162000000002E-2</v>
      </c>
      <c r="AE15" s="4">
        <v>0.4</v>
      </c>
      <c r="AF15" s="10">
        <v>5.9736162000000002E-2</v>
      </c>
    </row>
    <row r="16" spans="1:32" x14ac:dyDescent="0.2">
      <c r="A16" s="2">
        <v>102</v>
      </c>
      <c r="B16" s="4" t="s">
        <v>86</v>
      </c>
      <c r="C16" s="4" t="s">
        <v>39</v>
      </c>
      <c r="D16" s="4">
        <v>6.9</v>
      </c>
      <c r="E16" s="4">
        <f t="shared" si="0"/>
        <v>0.99739</v>
      </c>
      <c r="F16" s="4">
        <f t="shared" si="1"/>
        <v>8.9999999999999992E-5</v>
      </c>
      <c r="G16" s="4">
        <f>0.261/100</f>
        <v>2.6099999999999999E-3</v>
      </c>
      <c r="H16" s="9">
        <f>0.009/100</f>
        <v>8.9999999999999992E-5</v>
      </c>
      <c r="I16" s="4">
        <v>0</v>
      </c>
      <c r="J16" s="4">
        <v>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>
        <v>0.79</v>
      </c>
      <c r="AD16" s="10">
        <v>5.9441011000000002E-2</v>
      </c>
      <c r="AE16" s="4">
        <v>0.21</v>
      </c>
      <c r="AF16" s="10">
        <v>5.9441011000000002E-2</v>
      </c>
    </row>
    <row r="17" spans="1:32" x14ac:dyDescent="0.2">
      <c r="A17" s="2">
        <v>103</v>
      </c>
      <c r="B17" s="4" t="s">
        <v>87</v>
      </c>
      <c r="C17" s="4" t="s">
        <v>39</v>
      </c>
      <c r="D17" s="4">
        <v>6.9</v>
      </c>
      <c r="E17" s="4">
        <f t="shared" si="0"/>
        <v>0.99748999999999999</v>
      </c>
      <c r="F17" s="4">
        <f t="shared" si="1"/>
        <v>6.0000000000000002E-5</v>
      </c>
      <c r="G17" s="4">
        <f>0.251/100</f>
        <v>2.5100000000000001E-3</v>
      </c>
      <c r="H17" s="9">
        <f>0.006/100</f>
        <v>6.0000000000000002E-5</v>
      </c>
      <c r="I17" s="4">
        <v>0</v>
      </c>
      <c r="J17" s="4">
        <v>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>
        <v>0.66800000000000004</v>
      </c>
      <c r="AD17" s="10">
        <v>0.06</v>
      </c>
      <c r="AE17" s="4">
        <v>0.33199999999999996</v>
      </c>
      <c r="AF17" s="10">
        <v>0.06</v>
      </c>
    </row>
    <row r="18" spans="1:32" x14ac:dyDescent="0.2">
      <c r="A18" s="2">
        <v>104</v>
      </c>
      <c r="B18" s="9" t="s">
        <v>88</v>
      </c>
      <c r="C18" s="4" t="s">
        <v>39</v>
      </c>
      <c r="D18" s="4">
        <v>6.9</v>
      </c>
      <c r="E18" s="4">
        <f t="shared" si="0"/>
        <v>0.99895999999999996</v>
      </c>
      <c r="F18" s="4">
        <f t="shared" si="1"/>
        <v>8.0000000000000007E-5</v>
      </c>
      <c r="G18" s="4">
        <f>0.104/100</f>
        <v>1.0399999999999999E-3</v>
      </c>
      <c r="H18" s="9">
        <f>0.008/100</f>
        <v>8.0000000000000007E-5</v>
      </c>
      <c r="I18" s="4">
        <v>0</v>
      </c>
      <c r="J18" s="4">
        <v>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>
        <v>0.65300000000000002</v>
      </c>
      <c r="AD18" s="11">
        <v>0.06</v>
      </c>
      <c r="AE18" s="4">
        <v>0.34699999999999998</v>
      </c>
      <c r="AF18" s="11">
        <v>0.06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10C_7p4</vt:lpstr>
      <vt:lpstr>25C_7p4</vt:lpstr>
      <vt:lpstr>10C_all_pHs</vt:lpstr>
      <vt:lpstr>25C_all_pHs</vt:lpstr>
      <vt:lpstr>10C_6p9_all</vt:lpstr>
      <vt:lpstr>25C_6p9_all</vt:lpstr>
      <vt:lpstr>10C_6p9</vt:lpstr>
      <vt:lpstr>25C_6p9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Pablo Szekely, Ph.D.</cp:lastModifiedBy>
  <dcterms:created xsi:type="dcterms:W3CDTF">2023-10-05T12:33:52Z</dcterms:created>
  <dcterms:modified xsi:type="dcterms:W3CDTF">2025-08-13T13:44:32Z</dcterms:modified>
</cp:coreProperties>
</file>