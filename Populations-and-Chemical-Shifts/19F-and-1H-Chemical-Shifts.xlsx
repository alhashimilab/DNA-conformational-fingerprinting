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sula1/OrsDocs/OrsDocs_since_Jan2025/2025-Sequence-dependence/2025-Data-Deposition/Populations-and-Chemical-Shifts/"/>
    </mc:Choice>
  </mc:AlternateContent>
  <xr:revisionPtr revIDLastSave="0" documentId="13_ncr:1_{85D86ECC-8EC9-014B-94E9-FF4AC0BEAD31}" xr6:coauthVersionLast="47" xr6:coauthVersionMax="47" xr10:uidLastSave="{00000000-0000-0000-0000-000000000000}"/>
  <bookViews>
    <workbookView xWindow="0" yWindow="760" windowWidth="30240" windowHeight="17640" activeTab="2" xr2:uid="{B06F42EC-769B-6D43-B505-AA548A5A3065}"/>
  </bookViews>
  <sheets>
    <sheet name="G5FdU 19F chemical shifts" sheetId="13" r:id="rId1"/>
    <sheet name="G5FdU 1H chemical shifts" sheetId="11" r:id="rId2"/>
    <sheet name="GT 1H chemical shifts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1" l="1"/>
  <c r="I7" i="11"/>
  <c r="I8" i="11"/>
  <c r="I9" i="11"/>
  <c r="I10" i="11"/>
  <c r="I11" i="11"/>
  <c r="I12" i="11"/>
  <c r="I13" i="11"/>
  <c r="I14" i="11"/>
  <c r="I15" i="11"/>
  <c r="I16" i="11"/>
  <c r="I6" i="11"/>
  <c r="I5" i="11"/>
  <c r="I4" i="11"/>
  <c r="I3" i="11"/>
  <c r="I2" i="11"/>
  <c r="E17" i="11"/>
  <c r="E16" i="11"/>
  <c r="E8" i="11"/>
  <c r="E9" i="11"/>
  <c r="E10" i="11"/>
  <c r="E11" i="11"/>
  <c r="E12" i="11"/>
  <c r="E13" i="11"/>
  <c r="E7" i="11"/>
  <c r="E3" i="11"/>
  <c r="E4" i="11"/>
  <c r="E5" i="11"/>
  <c r="E2" i="11"/>
</calcChain>
</file>

<file path=xl/sharedStrings.xml><?xml version="1.0" encoding="utf-8"?>
<sst xmlns="http://schemas.openxmlformats.org/spreadsheetml/2006/main" count="73" uniqueCount="33">
  <si>
    <t>pH</t>
  </si>
  <si>
    <t>GGG</t>
  </si>
  <si>
    <t>GGA</t>
  </si>
  <si>
    <t>CGC</t>
  </si>
  <si>
    <t>GGT</t>
  </si>
  <si>
    <t>GGC</t>
  </si>
  <si>
    <t>AGT</t>
  </si>
  <si>
    <t>AGA</t>
  </si>
  <si>
    <t>AGC</t>
  </si>
  <si>
    <t>AGG</t>
  </si>
  <si>
    <t>CGT</t>
  </si>
  <si>
    <t>CGA</t>
  </si>
  <si>
    <t>CGG</t>
  </si>
  <si>
    <t>TGA</t>
  </si>
  <si>
    <t>TGC</t>
  </si>
  <si>
    <t>TGG</t>
  </si>
  <si>
    <t>TGT</t>
  </si>
  <si>
    <t>cs_WB_err_ppm</t>
  </si>
  <si>
    <t>cs_Anion_err_ppm</t>
  </si>
  <si>
    <t>dw_Anion_err_ppm</t>
  </si>
  <si>
    <t>Temperature_C</t>
  </si>
  <si>
    <t>U5_H3_ppm</t>
  </si>
  <si>
    <t>U5_H3_err</t>
  </si>
  <si>
    <t>G15_H1_ppm</t>
  </si>
  <si>
    <t>G15_H1_err</t>
  </si>
  <si>
    <t>G9_H1_ppm</t>
  </si>
  <si>
    <t>G9_H1_err</t>
  </si>
  <si>
    <t>T5_H3_ppm</t>
  </si>
  <si>
    <t>T5_H3_err</t>
  </si>
  <si>
    <t>Seq_G</t>
  </si>
  <si>
    <t>cs_WB_ppm</t>
  </si>
  <si>
    <t>cs_Anion_ppm</t>
  </si>
  <si>
    <t>dw_Anion_ppm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</si>
</sst>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/>
    <xf numFmtId="0" fontId="1" fillId="0" borderId="15" xfId="0" applyFont="1" applyBorder="1"/>
    <xf numFmtId="0" fontId="1" fillId="0" borderId="19" xfId="0" applyFont="1" applyBorder="1"/>
    <xf numFmtId="0" fontId="0" fillId="0" borderId="2" xfId="0" quotePrefix="1" applyBorder="1"/>
    <xf numFmtId="0" fontId="0" fillId="0" borderId="5" xfId="0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11" xfId="0" applyFill="1" applyBorder="1"/>
    <xf numFmtId="0" fontId="0" fillId="0" borderId="0" xfId="0" applyFill="1"/>
    <xf numFmtId="0" fontId="0" fillId="0" borderId="17" xfId="0" applyFill="1" applyBorder="1"/>
    <xf numFmtId="0" fontId="0" fillId="0" borderId="2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4A96-27C4-F342-811A-E8FD9F01D34E}">
  <dimension ref="A1:H17"/>
  <sheetViews>
    <sheetView workbookViewId="0">
      <selection activeCell="M11" sqref="M11"/>
    </sheetView>
  </sheetViews>
  <sheetFormatPr baseColWidth="10" defaultRowHeight="16" x14ac:dyDescent="0.2"/>
  <cols>
    <col min="7" max="7" width="11.6640625" bestFit="1" customWidth="1"/>
  </cols>
  <sheetData>
    <row r="1" spans="1:8" ht="20" thickBot="1" x14ac:dyDescent="0.3">
      <c r="A1" s="18" t="s">
        <v>29</v>
      </c>
      <c r="B1" s="18" t="s">
        <v>30</v>
      </c>
      <c r="C1" s="20" t="s">
        <v>17</v>
      </c>
      <c r="D1" s="23" t="s">
        <v>31</v>
      </c>
      <c r="E1" s="22" t="s">
        <v>18</v>
      </c>
      <c r="F1" s="18" t="s">
        <v>32</v>
      </c>
      <c r="G1" s="20" t="s">
        <v>19</v>
      </c>
      <c r="H1" s="21"/>
    </row>
    <row r="2" spans="1:8" x14ac:dyDescent="0.2">
      <c r="A2" s="24" t="s">
        <v>5</v>
      </c>
      <c r="B2" s="10">
        <v>-163.127457298661</v>
      </c>
      <c r="C2" s="11">
        <v>1.33918680626266E-3</v>
      </c>
      <c r="D2" s="15">
        <v>-163.586635651335</v>
      </c>
      <c r="E2" s="12">
        <v>1.0640858778003799E-3</v>
      </c>
      <c r="F2" s="10">
        <v>-0.45917835267400164</v>
      </c>
      <c r="G2" s="11">
        <v>1.710467789057189E-3</v>
      </c>
    </row>
    <row r="3" spans="1:8" x14ac:dyDescent="0.2">
      <c r="A3" s="5" t="s">
        <v>8</v>
      </c>
      <c r="B3" s="5">
        <v>-162.584100067489</v>
      </c>
      <c r="C3" s="11">
        <v>4.0129794882091101E-3</v>
      </c>
      <c r="D3" s="16">
        <v>-163.271374414505</v>
      </c>
      <c r="E3" s="13">
        <v>9.0295373618687303E-4</v>
      </c>
      <c r="F3" s="5">
        <v>-0.68727434701600032</v>
      </c>
      <c r="G3" s="11">
        <v>4.1133112965688464E-3</v>
      </c>
    </row>
    <row r="4" spans="1:8" x14ac:dyDescent="0.2">
      <c r="A4" s="5" t="s">
        <v>14</v>
      </c>
      <c r="B4" s="5">
        <v>-162.91871339886299</v>
      </c>
      <c r="C4" s="11">
        <v>1.5605849050814056E-2</v>
      </c>
      <c r="D4" s="16">
        <v>-163.74275683034648</v>
      </c>
      <c r="E4" s="13">
        <v>7.7586837547286111E-2</v>
      </c>
      <c r="F4" s="5">
        <v>-0.82404343148348858</v>
      </c>
      <c r="G4" s="11">
        <v>7.9140759948245126E-2</v>
      </c>
    </row>
    <row r="5" spans="1:8" x14ac:dyDescent="0.2">
      <c r="A5" s="5" t="s">
        <v>3</v>
      </c>
      <c r="B5" s="5">
        <v>-163.183049599676</v>
      </c>
      <c r="C5" s="11">
        <v>1.1087285085634741E-2</v>
      </c>
      <c r="D5" s="16">
        <v>-163.68790199104149</v>
      </c>
      <c r="E5" s="13">
        <v>0.12864239833176774</v>
      </c>
      <c r="F5" s="5">
        <v>-0.50485239136548898</v>
      </c>
      <c r="G5" s="11">
        <v>0.12911930351082032</v>
      </c>
    </row>
    <row r="6" spans="1:8" x14ac:dyDescent="0.2">
      <c r="A6" s="5" t="s">
        <v>4</v>
      </c>
      <c r="B6" s="5">
        <v>-162.94262162547949</v>
      </c>
      <c r="C6" s="6">
        <v>5.2861004186352457E-2</v>
      </c>
      <c r="D6" s="16">
        <v>-163.3565412065995</v>
      </c>
      <c r="E6" s="13">
        <v>0.12299374819538271</v>
      </c>
      <c r="F6" s="5">
        <v>-0.41391958112001248</v>
      </c>
      <c r="G6" s="11">
        <v>0.13387213249492511</v>
      </c>
    </row>
    <row r="7" spans="1:8" x14ac:dyDescent="0.2">
      <c r="A7" s="5" t="s">
        <v>6</v>
      </c>
      <c r="B7" s="5">
        <v>-162.35863082698</v>
      </c>
      <c r="C7" s="6">
        <v>1.56256252893172E-3</v>
      </c>
      <c r="D7" s="16">
        <v>-163.30313497262199</v>
      </c>
      <c r="E7" s="13">
        <v>3.91024911425575E-3</v>
      </c>
      <c r="F7" s="5">
        <v>-0.94450414564198582</v>
      </c>
      <c r="G7" s="11">
        <v>4.2108965544595577E-3</v>
      </c>
    </row>
    <row r="8" spans="1:8" x14ac:dyDescent="0.2">
      <c r="A8" s="5" t="s">
        <v>16</v>
      </c>
      <c r="B8" s="5">
        <v>-162.91662399274</v>
      </c>
      <c r="C8" s="6">
        <v>1.6498176168551221E-2</v>
      </c>
      <c r="D8" s="16">
        <v>-163.53929794162099</v>
      </c>
      <c r="E8" s="13">
        <v>5.5575682013765872E-2</v>
      </c>
      <c r="F8" s="5">
        <v>-0.62267394888098693</v>
      </c>
      <c r="G8" s="11">
        <v>5.7972806109276541E-2</v>
      </c>
    </row>
    <row r="9" spans="1:8" x14ac:dyDescent="0.2">
      <c r="A9" s="5" t="s">
        <v>10</v>
      </c>
      <c r="B9" s="5">
        <v>-163.3022731657465</v>
      </c>
      <c r="C9" s="6">
        <v>6.9768979331126607E-2</v>
      </c>
      <c r="D9" s="16">
        <v>-163.77500000000001</v>
      </c>
      <c r="E9" s="13">
        <v>7.0710678118590439E-3</v>
      </c>
      <c r="F9" s="5">
        <v>-0.47272683425350692</v>
      </c>
      <c r="G9" s="11">
        <v>7.0126389304648221E-2</v>
      </c>
    </row>
    <row r="10" spans="1:8" x14ac:dyDescent="0.2">
      <c r="A10" s="5" t="s">
        <v>2</v>
      </c>
      <c r="B10" s="5">
        <v>-163.65069403412801</v>
      </c>
      <c r="C10" s="6">
        <v>1.8982514916388001E-3</v>
      </c>
      <c r="D10" s="16">
        <v>-163.091875070909</v>
      </c>
      <c r="E10" s="13">
        <v>3.3077615375134402E-3</v>
      </c>
      <c r="F10" s="5">
        <v>0.55881896321901081</v>
      </c>
      <c r="G10" s="11">
        <v>3.8137442382207812E-3</v>
      </c>
    </row>
    <row r="11" spans="1:8" x14ac:dyDescent="0.2">
      <c r="A11" s="5" t="s">
        <v>7</v>
      </c>
      <c r="B11" s="5">
        <v>-163.1595847239615</v>
      </c>
      <c r="C11" s="6">
        <v>1.0299773550854097E-2</v>
      </c>
      <c r="D11" s="16">
        <v>-162.78020366092099</v>
      </c>
      <c r="E11" s="13">
        <v>2.4680445149621907E-2</v>
      </c>
      <c r="F11" s="5">
        <v>0.37938106304051189</v>
      </c>
      <c r="G11" s="11">
        <v>2.6743404943693486E-2</v>
      </c>
    </row>
    <row r="12" spans="1:8" x14ac:dyDescent="0.2">
      <c r="A12" s="5" t="s">
        <v>13</v>
      </c>
      <c r="B12" s="5">
        <v>-163.90580857694101</v>
      </c>
      <c r="C12" s="6">
        <v>6.6655424421924203E-4</v>
      </c>
      <c r="D12" s="16">
        <v>-163.36310595339901</v>
      </c>
      <c r="E12" s="13">
        <v>1.7260338571247801E-3</v>
      </c>
      <c r="F12" s="5">
        <v>0.54270262354199872</v>
      </c>
      <c r="G12" s="11">
        <v>1.8502668554637547E-3</v>
      </c>
    </row>
    <row r="13" spans="1:8" x14ac:dyDescent="0.2">
      <c r="A13" s="5" t="s">
        <v>11</v>
      </c>
      <c r="B13" s="5">
        <v>-164.36108038329598</v>
      </c>
      <c r="C13" s="6">
        <v>7.4781151683198672E-3</v>
      </c>
      <c r="D13" s="16">
        <v>-162.916775545343</v>
      </c>
      <c r="E13" s="13">
        <v>2.3724203740267985E-2</v>
      </c>
      <c r="F13" s="5">
        <v>1.4443048379529841</v>
      </c>
      <c r="G13" s="11">
        <v>2.4874887931011894E-2</v>
      </c>
    </row>
    <row r="14" spans="1:8" s="29" customFormat="1" x14ac:dyDescent="0.2">
      <c r="A14" s="25" t="s">
        <v>1</v>
      </c>
      <c r="B14" s="25">
        <v>-163.141062348178</v>
      </c>
      <c r="C14" s="27">
        <v>8.8424082134961002E-2</v>
      </c>
      <c r="D14" s="31">
        <v>-162.63144625823799</v>
      </c>
      <c r="E14" s="30">
        <v>1.3317193405769E-2</v>
      </c>
      <c r="F14" s="25">
        <v>0.5096160899400104</v>
      </c>
      <c r="G14" s="28">
        <v>8.942128349345578E-2</v>
      </c>
    </row>
    <row r="15" spans="1:8" x14ac:dyDescent="0.2">
      <c r="A15" s="5" t="s">
        <v>9</v>
      </c>
      <c r="B15" s="5">
        <v>-162.68773724198201</v>
      </c>
      <c r="C15" s="6">
        <v>1.9940034923706701E-3</v>
      </c>
      <c r="D15" s="16">
        <v>-162.460692081339</v>
      </c>
      <c r="E15" s="13">
        <v>3.0552518057618298E-3</v>
      </c>
      <c r="F15" s="5">
        <v>0.22704516064300151</v>
      </c>
      <c r="G15" s="11">
        <v>3.6483713522882165E-3</v>
      </c>
    </row>
    <row r="16" spans="1:8" x14ac:dyDescent="0.2">
      <c r="A16" s="5" t="s">
        <v>15</v>
      </c>
      <c r="B16" s="5">
        <v>-163.40876283523949</v>
      </c>
      <c r="C16" s="6">
        <v>8.1462937221886775E-3</v>
      </c>
      <c r="D16" s="16">
        <v>-162.9925682161705</v>
      </c>
      <c r="E16" s="13">
        <v>1.7774141763168105E-2</v>
      </c>
      <c r="F16" s="5">
        <v>0.41619461906898891</v>
      </c>
      <c r="G16" s="11">
        <v>1.9552038687189816E-2</v>
      </c>
    </row>
    <row r="17" spans="1:7" ht="17" thickBot="1" x14ac:dyDescent="0.25">
      <c r="A17" s="7" t="s">
        <v>12</v>
      </c>
      <c r="B17" s="7">
        <v>-164.00589847117499</v>
      </c>
      <c r="C17" s="9">
        <v>9.3177651586984201E-4</v>
      </c>
      <c r="D17" s="17">
        <v>-162.903191336361</v>
      </c>
      <c r="E17" s="14">
        <v>2.6956942532763198E-3</v>
      </c>
      <c r="F17" s="7">
        <v>1.1027071348139827</v>
      </c>
      <c r="G17" s="9">
        <v>2.8521877537556182E-3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740E-F10C-2A49-BD54-EA714A688E5E}">
  <dimension ref="A1:J17"/>
  <sheetViews>
    <sheetView workbookViewId="0"/>
  </sheetViews>
  <sheetFormatPr baseColWidth="10" defaultRowHeight="16" x14ac:dyDescent="0.2"/>
  <cols>
    <col min="3" max="3" width="17.5" bestFit="1" customWidth="1"/>
    <col min="9" max="9" width="11.6640625" bestFit="1" customWidth="1"/>
  </cols>
  <sheetData>
    <row r="1" spans="1:10" ht="20" thickBot="1" x14ac:dyDescent="0.3">
      <c r="A1" s="18" t="s">
        <v>29</v>
      </c>
      <c r="B1" s="19" t="s">
        <v>0</v>
      </c>
      <c r="C1" s="22" t="s">
        <v>20</v>
      </c>
      <c r="D1" s="18" t="s">
        <v>21</v>
      </c>
      <c r="E1" s="20" t="s">
        <v>22</v>
      </c>
      <c r="F1" s="18" t="s">
        <v>23</v>
      </c>
      <c r="G1" s="20" t="s">
        <v>24</v>
      </c>
      <c r="H1" s="18" t="s">
        <v>25</v>
      </c>
      <c r="I1" s="20" t="s">
        <v>26</v>
      </c>
      <c r="J1" s="21"/>
    </row>
    <row r="2" spans="1:10" x14ac:dyDescent="0.2">
      <c r="A2" s="24" t="s">
        <v>5</v>
      </c>
      <c r="B2" s="3">
        <v>6.8</v>
      </c>
      <c r="C2" s="4">
        <v>1</v>
      </c>
      <c r="D2" s="10">
        <v>11.843</v>
      </c>
      <c r="E2" s="11">
        <f>D2*0.015</f>
        <v>0.177645</v>
      </c>
      <c r="F2" s="10">
        <v>10.143000000000001</v>
      </c>
      <c r="G2" s="11">
        <v>0.14788524105294301</v>
      </c>
      <c r="H2" s="10">
        <v>10.363</v>
      </c>
      <c r="I2" s="11">
        <f>H2*0.03</f>
        <v>0.31089</v>
      </c>
    </row>
    <row r="3" spans="1:10" x14ac:dyDescent="0.2">
      <c r="A3" s="5" t="s">
        <v>8</v>
      </c>
      <c r="B3" s="1">
        <v>6.8</v>
      </c>
      <c r="C3" s="6">
        <v>1</v>
      </c>
      <c r="D3" s="5">
        <v>11.791</v>
      </c>
      <c r="E3" s="11">
        <f t="shared" ref="E3:E5" si="0">D3*0.015</f>
        <v>0.17686499999999999</v>
      </c>
      <c r="F3" s="5">
        <v>10.16</v>
      </c>
      <c r="G3" s="6">
        <v>0.14763779527559101</v>
      </c>
      <c r="H3" s="5">
        <v>10.35</v>
      </c>
      <c r="I3" s="11">
        <f>H3*0.03</f>
        <v>0.3105</v>
      </c>
    </row>
    <row r="4" spans="1:10" x14ac:dyDescent="0.2">
      <c r="A4" s="5" t="s">
        <v>14</v>
      </c>
      <c r="B4" s="1">
        <v>6.8</v>
      </c>
      <c r="C4" s="6">
        <v>1</v>
      </c>
      <c r="D4" s="5">
        <v>11.749000000000001</v>
      </c>
      <c r="E4" s="11">
        <f t="shared" si="0"/>
        <v>0.176235</v>
      </c>
      <c r="F4" s="5">
        <v>9.5389999999999997</v>
      </c>
      <c r="G4" s="6">
        <v>0.15724918754586401</v>
      </c>
      <c r="H4" s="5">
        <v>10.333</v>
      </c>
      <c r="I4" s="11">
        <f>H4*0.03</f>
        <v>0.30998999999999999</v>
      </c>
    </row>
    <row r="5" spans="1:10" x14ac:dyDescent="0.2">
      <c r="A5" s="5" t="s">
        <v>3</v>
      </c>
      <c r="B5" s="1">
        <v>6.8</v>
      </c>
      <c r="C5" s="6">
        <v>1</v>
      </c>
      <c r="D5" s="5">
        <v>11.752000000000001</v>
      </c>
      <c r="E5" s="11">
        <f t="shared" si="0"/>
        <v>0.17627999999999999</v>
      </c>
      <c r="F5" s="5">
        <v>9.9580000000000002</v>
      </c>
      <c r="G5" s="6">
        <v>7.5215906808596106E-2</v>
      </c>
      <c r="H5" s="5">
        <v>10.347</v>
      </c>
      <c r="I5" s="11">
        <f>H5*0.03</f>
        <v>0.31040999999999996</v>
      </c>
    </row>
    <row r="6" spans="1:10" x14ac:dyDescent="0.2">
      <c r="A6" s="5" t="s">
        <v>4</v>
      </c>
      <c r="B6" s="1">
        <v>6.8</v>
      </c>
      <c r="C6" s="6">
        <v>1</v>
      </c>
      <c r="D6" s="5">
        <v>11.681699999999999</v>
      </c>
      <c r="E6" s="6">
        <v>0.2</v>
      </c>
      <c r="F6" s="5">
        <v>9.7880000000000003</v>
      </c>
      <c r="G6" s="6">
        <v>0.15324887617490801</v>
      </c>
      <c r="H6" s="5">
        <v>10.355</v>
      </c>
      <c r="I6" s="11">
        <f>H6*0.03</f>
        <v>0.31064999999999998</v>
      </c>
    </row>
    <row r="7" spans="1:10" x14ac:dyDescent="0.2">
      <c r="A7" s="5" t="s">
        <v>6</v>
      </c>
      <c r="B7" s="1">
        <v>6.8</v>
      </c>
      <c r="C7" s="6">
        <v>1</v>
      </c>
      <c r="D7" s="5">
        <v>11.775</v>
      </c>
      <c r="E7" s="6">
        <f>D7*0.015</f>
        <v>0.176625</v>
      </c>
      <c r="F7" s="5">
        <v>9.7469999999999999</v>
      </c>
      <c r="G7" s="6">
        <v>0.15389350569405999</v>
      </c>
      <c r="H7" s="5">
        <v>10.336</v>
      </c>
      <c r="I7" s="11">
        <f t="shared" ref="I7:I16" si="1">H7*0.03</f>
        <v>0.31008000000000002</v>
      </c>
    </row>
    <row r="8" spans="1:10" x14ac:dyDescent="0.2">
      <c r="A8" s="5" t="s">
        <v>16</v>
      </c>
      <c r="B8" s="1">
        <v>6.8</v>
      </c>
      <c r="C8" s="6">
        <v>1</v>
      </c>
      <c r="D8" s="5">
        <v>11.794</v>
      </c>
      <c r="E8" s="6">
        <f t="shared" ref="E8:E13" si="2">D8*0.015</f>
        <v>0.17691000000000001</v>
      </c>
      <c r="F8" s="5">
        <v>9.2360000000000007</v>
      </c>
      <c r="G8" s="6">
        <v>0.16240796881767</v>
      </c>
      <c r="H8" s="5">
        <v>10.318</v>
      </c>
      <c r="I8" s="11">
        <f t="shared" si="1"/>
        <v>0.30953999999999998</v>
      </c>
    </row>
    <row r="9" spans="1:10" x14ac:dyDescent="0.2">
      <c r="A9" s="5" t="s">
        <v>10</v>
      </c>
      <c r="B9" s="1">
        <v>6.8</v>
      </c>
      <c r="C9" s="6">
        <v>1</v>
      </c>
      <c r="D9" s="5">
        <v>11.656000000000001</v>
      </c>
      <c r="E9" s="6">
        <f t="shared" si="2"/>
        <v>0.17484</v>
      </c>
      <c r="F9" s="5">
        <v>9.6069999999999993</v>
      </c>
      <c r="G9" s="6">
        <v>3.1955865514728801E-2</v>
      </c>
      <c r="H9" s="5">
        <v>10.335000000000001</v>
      </c>
      <c r="I9" s="11">
        <f t="shared" si="1"/>
        <v>0.31004999999999999</v>
      </c>
    </row>
    <row r="10" spans="1:10" x14ac:dyDescent="0.2">
      <c r="A10" s="5" t="s">
        <v>2</v>
      </c>
      <c r="B10" s="1">
        <v>6.8</v>
      </c>
      <c r="C10" s="6">
        <v>1</v>
      </c>
      <c r="D10" s="5">
        <v>12.23</v>
      </c>
      <c r="E10" s="6">
        <f t="shared" si="2"/>
        <v>0.18345</v>
      </c>
      <c r="F10" s="5">
        <v>9.9</v>
      </c>
      <c r="G10" s="6">
        <v>0.14060606060606101</v>
      </c>
      <c r="H10" s="5">
        <v>10.372999999999999</v>
      </c>
      <c r="I10" s="11">
        <f t="shared" si="1"/>
        <v>0.31118999999999997</v>
      </c>
    </row>
    <row r="11" spans="1:10" x14ac:dyDescent="0.2">
      <c r="A11" s="5" t="s">
        <v>7</v>
      </c>
      <c r="B11" s="1">
        <v>6.8</v>
      </c>
      <c r="C11" s="6">
        <v>1</v>
      </c>
      <c r="D11" s="5">
        <v>12.069000000000001</v>
      </c>
      <c r="E11" s="6">
        <f t="shared" si="2"/>
        <v>0.181035</v>
      </c>
      <c r="F11" s="5">
        <v>9.94</v>
      </c>
      <c r="G11" s="6">
        <v>0.15090543259557301</v>
      </c>
      <c r="H11" s="5">
        <v>10.352</v>
      </c>
      <c r="I11" s="11">
        <f t="shared" si="1"/>
        <v>0.31056</v>
      </c>
    </row>
    <row r="12" spans="1:10" x14ac:dyDescent="0.2">
      <c r="A12" s="5" t="s">
        <v>13</v>
      </c>
      <c r="B12" s="1">
        <v>6.8</v>
      </c>
      <c r="C12" s="6">
        <v>1</v>
      </c>
      <c r="D12" s="5">
        <v>12.035</v>
      </c>
      <c r="E12" s="6">
        <f t="shared" si="2"/>
        <v>0.18052499999999999</v>
      </c>
      <c r="F12" s="5">
        <v>9.548</v>
      </c>
      <c r="G12" s="6">
        <v>0.10002094679513999</v>
      </c>
      <c r="H12" s="5">
        <v>10.335000000000001</v>
      </c>
      <c r="I12" s="11">
        <f t="shared" si="1"/>
        <v>0.31004999999999999</v>
      </c>
    </row>
    <row r="13" spans="1:10" x14ac:dyDescent="0.2">
      <c r="A13" s="5" t="s">
        <v>11</v>
      </c>
      <c r="B13" s="1">
        <v>6.8</v>
      </c>
      <c r="C13" s="6">
        <v>1</v>
      </c>
      <c r="D13" s="5">
        <v>12.028</v>
      </c>
      <c r="E13" s="6">
        <f t="shared" si="2"/>
        <v>0.18042</v>
      </c>
      <c r="F13" s="5">
        <v>9.8460000000000001</v>
      </c>
      <c r="G13" s="6">
        <v>8.4196628072313595E-2</v>
      </c>
      <c r="H13" s="5">
        <v>10.352</v>
      </c>
      <c r="I13" s="11">
        <f t="shared" si="1"/>
        <v>0.31056</v>
      </c>
    </row>
    <row r="14" spans="1:10" s="29" customFormat="1" x14ac:dyDescent="0.2">
      <c r="A14" s="25" t="s">
        <v>1</v>
      </c>
      <c r="B14" s="26">
        <v>6.8</v>
      </c>
      <c r="C14" s="27">
        <v>1</v>
      </c>
      <c r="D14" s="25">
        <v>12.0527</v>
      </c>
      <c r="E14" s="27">
        <v>0.2</v>
      </c>
      <c r="F14" s="25">
        <v>10.074999999999999</v>
      </c>
      <c r="G14" s="27">
        <v>3.9007444168734501E-2</v>
      </c>
      <c r="H14" s="25">
        <v>10.37</v>
      </c>
      <c r="I14" s="28">
        <f t="shared" si="1"/>
        <v>0.31109999999999999</v>
      </c>
    </row>
    <row r="15" spans="1:10" x14ac:dyDescent="0.2">
      <c r="A15" s="5" t="s">
        <v>9</v>
      </c>
      <c r="B15" s="1">
        <v>6.8</v>
      </c>
      <c r="C15" s="6">
        <v>1</v>
      </c>
      <c r="D15" s="5">
        <v>12.057499999999999</v>
      </c>
      <c r="E15" s="6">
        <v>0.2</v>
      </c>
      <c r="F15" s="5">
        <v>10.186</v>
      </c>
      <c r="G15" s="6">
        <v>0.14726094639701601</v>
      </c>
      <c r="H15" s="5">
        <v>10.349</v>
      </c>
      <c r="I15" s="11">
        <f t="shared" si="1"/>
        <v>0.31046999999999997</v>
      </c>
    </row>
    <row r="16" spans="1:10" x14ac:dyDescent="0.2">
      <c r="A16" s="5" t="s">
        <v>15</v>
      </c>
      <c r="B16" s="1">
        <v>6.8</v>
      </c>
      <c r="C16" s="6">
        <v>1</v>
      </c>
      <c r="D16" s="5">
        <v>12.067</v>
      </c>
      <c r="E16" s="6">
        <f t="shared" ref="E16" si="3">D16*0.015</f>
        <v>0.181005</v>
      </c>
      <c r="F16" s="5">
        <v>9.7889999999999997</v>
      </c>
      <c r="G16" s="6">
        <v>0.15323322096230499</v>
      </c>
      <c r="H16" s="5">
        <v>10.337</v>
      </c>
      <c r="I16" s="11">
        <f t="shared" si="1"/>
        <v>0.31011</v>
      </c>
    </row>
    <row r="17" spans="1:9" ht="17" thickBot="1" x14ac:dyDescent="0.25">
      <c r="A17" s="7" t="s">
        <v>12</v>
      </c>
      <c r="B17" s="8">
        <v>6.8</v>
      </c>
      <c r="C17" s="9">
        <v>1</v>
      </c>
      <c r="D17" s="7">
        <v>12.085000000000001</v>
      </c>
      <c r="E17" s="9">
        <f>D17*0.015</f>
        <v>0.18127500000000002</v>
      </c>
      <c r="F17" s="7">
        <v>10.119999999999999</v>
      </c>
      <c r="G17" s="9">
        <v>5.2272727272727297E-2</v>
      </c>
      <c r="H17" s="7">
        <v>10.353</v>
      </c>
      <c r="I17" s="9">
        <f>H17*0.03</f>
        <v>0.31058999999999998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E55F-5047-8B41-A5E2-2F9FCEC38B90}">
  <dimension ref="A1:J17"/>
  <sheetViews>
    <sheetView tabSelected="1" workbookViewId="0">
      <selection activeCell="E29" sqref="E29"/>
    </sheetView>
  </sheetViews>
  <sheetFormatPr baseColWidth="10" defaultRowHeight="16" x14ac:dyDescent="0.2"/>
  <cols>
    <col min="3" max="3" width="17.5" bestFit="1" customWidth="1"/>
    <col min="9" max="9" width="12.1640625" bestFit="1" customWidth="1"/>
  </cols>
  <sheetData>
    <row r="1" spans="1:10" ht="20" thickBot="1" x14ac:dyDescent="0.3">
      <c r="A1" s="18" t="s">
        <v>29</v>
      </c>
      <c r="B1" s="19" t="s">
        <v>0</v>
      </c>
      <c r="C1" s="20" t="s">
        <v>20</v>
      </c>
      <c r="D1" s="18" t="s">
        <v>27</v>
      </c>
      <c r="E1" s="20" t="s">
        <v>28</v>
      </c>
      <c r="F1" s="18" t="s">
        <v>23</v>
      </c>
      <c r="G1" s="20" t="s">
        <v>24</v>
      </c>
      <c r="H1" s="18" t="s">
        <v>25</v>
      </c>
      <c r="I1" s="20" t="s">
        <v>26</v>
      </c>
      <c r="J1" s="21"/>
    </row>
    <row r="2" spans="1:10" x14ac:dyDescent="0.2">
      <c r="A2" s="24" t="s">
        <v>5</v>
      </c>
      <c r="B2" s="3">
        <v>6.8</v>
      </c>
      <c r="C2" s="4">
        <v>1</v>
      </c>
      <c r="D2" s="2">
        <v>11.342000000000001</v>
      </c>
      <c r="E2" s="4">
        <v>5.55457591253747E-3</v>
      </c>
      <c r="F2" s="2">
        <v>10.242000000000001</v>
      </c>
      <c r="G2" s="4">
        <v>1.2107010349541101E-2</v>
      </c>
      <c r="H2" s="2">
        <v>10.349</v>
      </c>
      <c r="I2" s="4">
        <v>0.48313846748478101</v>
      </c>
    </row>
    <row r="3" spans="1:10" x14ac:dyDescent="0.2">
      <c r="A3" s="5" t="s">
        <v>8</v>
      </c>
      <c r="B3" s="1">
        <v>6.8</v>
      </c>
      <c r="C3" s="6">
        <v>1</v>
      </c>
      <c r="D3" s="5">
        <v>11.24</v>
      </c>
      <c r="E3" s="6">
        <v>6.4056939501779403E-3</v>
      </c>
      <c r="F3" s="5">
        <v>10.281000000000001</v>
      </c>
      <c r="G3" s="6">
        <v>1.26446843692248E-2</v>
      </c>
      <c r="H3" s="5">
        <v>10.326000000000001</v>
      </c>
      <c r="I3" s="6">
        <v>0.48421460391245402</v>
      </c>
    </row>
    <row r="4" spans="1:10" x14ac:dyDescent="0.2">
      <c r="A4" s="5" t="s">
        <v>14</v>
      </c>
      <c r="B4" s="1">
        <v>6.8</v>
      </c>
      <c r="C4" s="6">
        <v>1</v>
      </c>
      <c r="D4" s="5">
        <v>11.19</v>
      </c>
      <c r="E4" s="6">
        <v>8.4003574620196593E-3</v>
      </c>
      <c r="F4" s="5">
        <v>9.6850000000000005</v>
      </c>
      <c r="G4" s="6">
        <v>1.25967991739804E-2</v>
      </c>
      <c r="H4" s="5">
        <v>10.315</v>
      </c>
      <c r="I4" s="6">
        <v>0.48473097430925799</v>
      </c>
    </row>
    <row r="5" spans="1:10" x14ac:dyDescent="0.2">
      <c r="A5" s="5" t="s">
        <v>3</v>
      </c>
      <c r="B5" s="1">
        <v>6.8</v>
      </c>
      <c r="C5" s="6">
        <v>1</v>
      </c>
      <c r="D5" s="5">
        <v>11.246</v>
      </c>
      <c r="E5" s="6">
        <v>5.5130713142450601E-3</v>
      </c>
      <c r="F5" s="5">
        <v>10.055999999999999</v>
      </c>
      <c r="G5" s="6">
        <v>7.6571201272871902E-3</v>
      </c>
      <c r="H5" s="5">
        <v>10.331</v>
      </c>
      <c r="I5" s="6">
        <v>0.483980253605653</v>
      </c>
    </row>
    <row r="6" spans="1:10" x14ac:dyDescent="0.2">
      <c r="A6" s="5" t="s">
        <v>4</v>
      </c>
      <c r="B6" s="1">
        <v>6.8</v>
      </c>
      <c r="C6" s="6">
        <v>1</v>
      </c>
      <c r="D6" s="5">
        <v>11.096</v>
      </c>
      <c r="E6" s="6">
        <v>1.0093727469358301E-2</v>
      </c>
      <c r="F6" s="5">
        <v>10.058999999999999</v>
      </c>
      <c r="G6" s="6">
        <v>1.7397355601948501E-2</v>
      </c>
      <c r="H6" s="5">
        <v>10.34</v>
      </c>
      <c r="I6" s="6">
        <v>0.48355899419729198</v>
      </c>
    </row>
    <row r="7" spans="1:10" x14ac:dyDescent="0.2">
      <c r="A7" s="5" t="s">
        <v>6</v>
      </c>
      <c r="B7" s="1">
        <v>6.8</v>
      </c>
      <c r="C7" s="6">
        <v>1</v>
      </c>
      <c r="D7" s="5">
        <v>11.121</v>
      </c>
      <c r="E7" s="6">
        <v>9.1718370650121402E-3</v>
      </c>
      <c r="F7" s="5">
        <v>10.032999999999999</v>
      </c>
      <c r="G7" s="6">
        <v>1.9834545998205898E-2</v>
      </c>
      <c r="H7" s="5">
        <v>10.319000000000001</v>
      </c>
      <c r="I7" s="6">
        <v>0.48454307587944601</v>
      </c>
    </row>
    <row r="8" spans="1:10" x14ac:dyDescent="0.2">
      <c r="A8" s="5" t="s">
        <v>16</v>
      </c>
      <c r="B8" s="1">
        <v>6.8</v>
      </c>
      <c r="C8" s="6">
        <v>1</v>
      </c>
      <c r="D8" s="5">
        <v>11.145</v>
      </c>
      <c r="E8" s="6">
        <v>9.0623598026020706E-3</v>
      </c>
      <c r="F8" s="5">
        <v>9.4879999999999995</v>
      </c>
      <c r="G8" s="6">
        <v>1.93929173693086E-2</v>
      </c>
      <c r="H8" s="5">
        <v>10.301</v>
      </c>
      <c r="I8" s="6">
        <v>0.48538976798369099</v>
      </c>
    </row>
    <row r="9" spans="1:10" x14ac:dyDescent="0.2">
      <c r="A9" s="5" t="s">
        <v>10</v>
      </c>
      <c r="B9" s="1">
        <v>6.8</v>
      </c>
      <c r="C9" s="6">
        <v>1</v>
      </c>
      <c r="D9" s="5">
        <v>11.045</v>
      </c>
      <c r="E9" s="6">
        <v>7.6052512449071999E-3</v>
      </c>
      <c r="F9" s="5">
        <v>9.8119999999999994</v>
      </c>
      <c r="G9" s="6">
        <v>2.0892784345699099E-2</v>
      </c>
      <c r="H9" s="5">
        <v>10.316000000000001</v>
      </c>
      <c r="I9" s="6">
        <v>0.48468398604110102</v>
      </c>
    </row>
    <row r="10" spans="1:10" x14ac:dyDescent="0.2">
      <c r="A10" s="5" t="s">
        <v>2</v>
      </c>
      <c r="B10" s="1">
        <v>6.8</v>
      </c>
      <c r="C10" s="6">
        <v>1</v>
      </c>
      <c r="D10" s="5">
        <v>11.707000000000001</v>
      </c>
      <c r="E10" s="6">
        <v>7.1751943281797197E-3</v>
      </c>
      <c r="F10" s="5">
        <v>10.025</v>
      </c>
      <c r="G10" s="6">
        <v>1.0374064837905201E-2</v>
      </c>
      <c r="H10" s="5">
        <v>10.351000000000001</v>
      </c>
      <c r="I10" s="6">
        <v>0.48304511641387299</v>
      </c>
    </row>
    <row r="11" spans="1:10" x14ac:dyDescent="0.2">
      <c r="A11" s="5" t="s">
        <v>7</v>
      </c>
      <c r="B11" s="1">
        <v>6.8</v>
      </c>
      <c r="C11" s="6">
        <v>1</v>
      </c>
      <c r="D11" s="5">
        <v>11.497999999999999</v>
      </c>
      <c r="E11" s="6">
        <v>7.5665333101408898E-3</v>
      </c>
      <c r="F11" s="5">
        <v>10.114000000000001</v>
      </c>
      <c r="G11" s="6">
        <v>1.4336563179750799E-2</v>
      </c>
      <c r="H11" s="5">
        <v>10.332000000000001</v>
      </c>
      <c r="I11" s="6">
        <v>0.48393341076267898</v>
      </c>
    </row>
    <row r="12" spans="1:10" x14ac:dyDescent="0.2">
      <c r="A12" s="5" t="s">
        <v>13</v>
      </c>
      <c r="B12" s="1">
        <v>6.8</v>
      </c>
      <c r="C12" s="6">
        <v>1</v>
      </c>
      <c r="D12" s="5">
        <v>11.45</v>
      </c>
      <c r="E12" s="6">
        <v>1.0043668122270699E-2</v>
      </c>
      <c r="F12" s="5">
        <v>9.7050000000000001</v>
      </c>
      <c r="G12" s="6">
        <v>1.65893869139619E-2</v>
      </c>
      <c r="H12" s="5">
        <v>10.316000000000001</v>
      </c>
      <c r="I12" s="6">
        <v>0.48468398604110102</v>
      </c>
    </row>
    <row r="13" spans="1:10" x14ac:dyDescent="0.2">
      <c r="A13" s="5" t="s">
        <v>11</v>
      </c>
      <c r="B13" s="1">
        <v>6.8</v>
      </c>
      <c r="C13" s="6">
        <v>1</v>
      </c>
      <c r="D13" s="5">
        <v>11.483000000000001</v>
      </c>
      <c r="E13" s="6">
        <v>1.1843594879386901E-2</v>
      </c>
      <c r="F13" s="5">
        <v>9.9659999999999993</v>
      </c>
      <c r="G13" s="6">
        <v>1.04354806341561E-2</v>
      </c>
      <c r="H13" s="5">
        <v>10.336</v>
      </c>
      <c r="I13" s="6">
        <v>0.48374613003096001</v>
      </c>
    </row>
    <row r="14" spans="1:10" x14ac:dyDescent="0.2">
      <c r="A14" s="5" t="s">
        <v>1</v>
      </c>
      <c r="B14" s="1">
        <v>6.8</v>
      </c>
      <c r="C14" s="6">
        <v>1</v>
      </c>
      <c r="D14" s="5">
        <v>11.481999999999999</v>
      </c>
      <c r="E14" s="6">
        <v>6.44487023166696E-3</v>
      </c>
      <c r="F14" s="5">
        <v>10.189</v>
      </c>
      <c r="G14" s="6">
        <v>9.7163607812346692E-3</v>
      </c>
      <c r="H14" s="5">
        <v>10.348000000000001</v>
      </c>
      <c r="I14" s="6">
        <v>0.48318515655199101</v>
      </c>
    </row>
    <row r="15" spans="1:10" x14ac:dyDescent="0.2">
      <c r="A15" s="5" t="s">
        <v>9</v>
      </c>
      <c r="B15" s="1">
        <v>6.8</v>
      </c>
      <c r="C15" s="6">
        <v>1</v>
      </c>
      <c r="D15" s="5">
        <v>11.449</v>
      </c>
      <c r="E15" s="6">
        <v>7.3368853174949804E-3</v>
      </c>
      <c r="F15" s="5">
        <v>10.317</v>
      </c>
      <c r="G15" s="6">
        <v>1.89977706697683E-2</v>
      </c>
      <c r="H15" s="5">
        <v>10.317</v>
      </c>
      <c r="I15" s="6">
        <v>1.89977706697683E-2</v>
      </c>
    </row>
    <row r="16" spans="1:10" x14ac:dyDescent="0.2">
      <c r="A16" s="5" t="s">
        <v>15</v>
      </c>
      <c r="B16" s="1">
        <v>6.8</v>
      </c>
      <c r="C16" s="6">
        <v>1</v>
      </c>
      <c r="D16" s="5">
        <v>11.446999999999999</v>
      </c>
      <c r="E16" s="6">
        <v>9.5221455403162406E-3</v>
      </c>
      <c r="F16" s="5">
        <v>9.9529999999999994</v>
      </c>
      <c r="G16" s="6">
        <v>5.8072942831307102E-2</v>
      </c>
      <c r="H16" s="5">
        <v>10.315</v>
      </c>
      <c r="I16" s="6">
        <v>0.48473097430925799</v>
      </c>
    </row>
    <row r="17" spans="1:9" ht="17" thickBot="1" x14ac:dyDescent="0.25">
      <c r="A17" s="7" t="s">
        <v>12</v>
      </c>
      <c r="B17" s="8">
        <v>6.8</v>
      </c>
      <c r="C17" s="9">
        <v>1</v>
      </c>
      <c r="D17" s="7">
        <v>11.467000000000001</v>
      </c>
      <c r="E17" s="9">
        <v>1.09880526728874E-2</v>
      </c>
      <c r="F17" s="7">
        <v>10.257999999999999</v>
      </c>
      <c r="G17" s="9">
        <v>1.0235913433417799E-2</v>
      </c>
      <c r="H17" s="7">
        <v>10.337999999999999</v>
      </c>
      <c r="I17" s="9">
        <v>0.24066550590056099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G5FdU 19F chemical shifts</vt:lpstr>
      <vt:lpstr>G5FdU 1H chemical shifts</vt:lpstr>
      <vt:lpstr>GT 1H chemical 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Pablo Szekely</cp:lastModifiedBy>
  <cp:lastPrinted>2024-05-31T18:55:35Z</cp:lastPrinted>
  <dcterms:created xsi:type="dcterms:W3CDTF">2023-05-15T13:36:41Z</dcterms:created>
  <dcterms:modified xsi:type="dcterms:W3CDTF">2025-11-01T21:38:15Z</dcterms:modified>
</cp:coreProperties>
</file>