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rsula1/OrsDocs/OrsDocs_since_Jan2025/2025-Sequence-dependence/2025-Data-Deposition/Populations-and-Chemical-Shifts/"/>
    </mc:Choice>
  </mc:AlternateContent>
  <xr:revisionPtr revIDLastSave="0" documentId="13_ncr:1_{8D6D0A8B-B68E-084C-8BC2-7DD2474C7D9C}" xr6:coauthVersionLast="47" xr6:coauthVersionMax="47" xr10:uidLastSave="{00000000-0000-0000-0000-000000000000}"/>
  <bookViews>
    <workbookView xWindow="2440" yWindow="2520" windowWidth="27800" windowHeight="15820" xr2:uid="{24E69AA7-5D61-1743-AAD3-957EEE34F79F}"/>
  </bookViews>
  <sheets>
    <sheet name="Calculated-from-orig-fi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0" i="1" l="1"/>
  <c r="N10" i="1"/>
  <c r="M12" i="1"/>
  <c r="N12" i="1"/>
  <c r="M9" i="1"/>
  <c r="N9" i="1"/>
  <c r="M11" i="1"/>
  <c r="N11" i="1"/>
  <c r="M13" i="1"/>
  <c r="N13" i="1"/>
  <c r="M14" i="1"/>
  <c r="N14" i="1"/>
  <c r="M15" i="1"/>
  <c r="N15" i="1"/>
  <c r="M16" i="1"/>
  <c r="N16" i="1"/>
  <c r="M17" i="1"/>
  <c r="N17" i="1"/>
  <c r="N7" i="1"/>
  <c r="M7" i="1"/>
  <c r="K5" i="1"/>
  <c r="O5" i="1" s="1"/>
  <c r="Q5" i="1" s="1"/>
  <c r="K10" i="1"/>
  <c r="K11" i="1"/>
  <c r="K13" i="1"/>
  <c r="P13" i="1" s="1"/>
  <c r="L16" i="1"/>
  <c r="O14" i="1"/>
  <c r="Q14" i="1" s="1"/>
  <c r="O15" i="1"/>
  <c r="Q15" i="1" s="1"/>
  <c r="C17" i="1"/>
  <c r="K2" i="1"/>
  <c r="O2" i="1" s="1"/>
  <c r="Q2" i="1" s="1"/>
  <c r="K4" i="1"/>
  <c r="O4" i="1" s="1"/>
  <c r="Q4" i="1" s="1"/>
  <c r="K7" i="1"/>
  <c r="P7" i="1" s="1"/>
  <c r="K8" i="1"/>
  <c r="O8" i="1" s="1"/>
  <c r="Q8" i="1" s="1"/>
  <c r="K9" i="1"/>
  <c r="K12" i="1"/>
  <c r="C6" i="1"/>
  <c r="C3" i="1"/>
  <c r="P10" i="1" l="1"/>
  <c r="K6" i="1"/>
  <c r="O6" i="1" s="1"/>
  <c r="Q6" i="1" s="1"/>
  <c r="L7" i="1"/>
  <c r="L6" i="1"/>
  <c r="P6" i="1" s="1"/>
  <c r="L4" i="1"/>
  <c r="P4" i="1" s="1"/>
  <c r="R4" i="1" s="1"/>
  <c r="L10" i="1"/>
  <c r="L17" i="1"/>
  <c r="P14" i="1"/>
  <c r="R14" i="1" s="1"/>
  <c r="L8" i="1"/>
  <c r="P8" i="1" s="1"/>
  <c r="R8" i="1" s="1"/>
  <c r="K3" i="1"/>
  <c r="O3" i="1" s="1"/>
  <c r="Q3" i="1" s="1"/>
  <c r="R3" i="1" s="1"/>
  <c r="L12" i="1"/>
  <c r="L5" i="1"/>
  <c r="P5" i="1" s="1"/>
  <c r="R5" i="1" s="1"/>
  <c r="L3" i="1"/>
  <c r="P3" i="1" s="1"/>
  <c r="O7" i="1"/>
  <c r="Q7" i="1" s="1"/>
  <c r="R7" i="1" s="1"/>
  <c r="L13" i="1"/>
  <c r="K17" i="1"/>
  <c r="L11" i="1"/>
  <c r="L9" i="1"/>
  <c r="O13" i="1"/>
  <c r="Q13" i="1" s="1"/>
  <c r="R13" i="1" s="1"/>
  <c r="O10" i="1"/>
  <c r="Q10" i="1" s="1"/>
  <c r="P11" i="1"/>
  <c r="O11" i="1"/>
  <c r="Q11" i="1" s="1"/>
  <c r="R11" i="1" s="1"/>
  <c r="P9" i="1"/>
  <c r="O9" i="1"/>
  <c r="Q9" i="1" s="1"/>
  <c r="L2" i="1"/>
  <c r="P2" i="1" s="1"/>
  <c r="R2" i="1" s="1"/>
  <c r="P15" i="1"/>
  <c r="R15" i="1" s="1"/>
  <c r="K16" i="1"/>
  <c r="P12" i="1"/>
  <c r="R6" i="1" l="1"/>
  <c r="R9" i="1"/>
  <c r="R10" i="1"/>
  <c r="O17" i="1"/>
  <c r="Q17" i="1" s="1"/>
  <c r="P17" i="1"/>
  <c r="P16" i="1"/>
  <c r="O16" i="1"/>
  <c r="Q16" i="1" s="1"/>
  <c r="R16" i="1" s="1"/>
  <c r="O12" i="1"/>
  <c r="Q12" i="1" s="1"/>
  <c r="R12" i="1" s="1"/>
  <c r="R17" i="1" l="1"/>
</calcChain>
</file>

<file path=xl/sharedStrings.xml><?xml version="1.0" encoding="utf-8"?>
<sst xmlns="http://schemas.openxmlformats.org/spreadsheetml/2006/main" count="50" uniqueCount="50">
  <si>
    <t>pKa_avg</t>
  </si>
  <si>
    <t>GGG</t>
  </si>
  <si>
    <t>GGA</t>
  </si>
  <si>
    <t>CGC</t>
  </si>
  <si>
    <t>GGT</t>
  </si>
  <si>
    <t>GGC</t>
  </si>
  <si>
    <t>AGT</t>
  </si>
  <si>
    <t>AGA</t>
  </si>
  <si>
    <t>AGC</t>
  </si>
  <si>
    <t>AGG</t>
  </si>
  <si>
    <t>CGT</t>
  </si>
  <si>
    <t>CGA</t>
  </si>
  <si>
    <t>CGG</t>
  </si>
  <si>
    <t>TGA</t>
  </si>
  <si>
    <t>TGC</t>
  </si>
  <si>
    <t>TGG</t>
  </si>
  <si>
    <t>TGT</t>
  </si>
  <si>
    <t>CTT</t>
  </si>
  <si>
    <t>CTC</t>
  </si>
  <si>
    <t>GTT</t>
  </si>
  <si>
    <t>GTC</t>
  </si>
  <si>
    <t>TTC</t>
  </si>
  <si>
    <t>TTT</t>
  </si>
  <si>
    <t>ATT</t>
  </si>
  <si>
    <t>ATC</t>
  </si>
  <si>
    <t>GTA</t>
  </si>
  <si>
    <t>CTA</t>
  </si>
  <si>
    <t>GTG</t>
  </si>
  <si>
    <t>ATA</t>
  </si>
  <si>
    <t>TTA</t>
  </si>
  <si>
    <t>CTG</t>
  </si>
  <si>
    <t>TTG</t>
  </si>
  <si>
    <t>ATG</t>
  </si>
  <si>
    <t>pH_high</t>
  </si>
  <si>
    <t>pH_high_err</t>
  </si>
  <si>
    <t>pB_anion_high_pH_err_ %</t>
  </si>
  <si>
    <t>pB_anion_high_pH_%</t>
  </si>
  <si>
    <t>pKa_high_pH</t>
  </si>
  <si>
    <t>pKa_high_pH_err</t>
  </si>
  <si>
    <t>pKa_avg_err</t>
  </si>
  <si>
    <t>pKa_low_pH</t>
  </si>
  <si>
    <t>pKa_low_pH_err</t>
  </si>
  <si>
    <t>pH_low</t>
  </si>
  <si>
    <t>pH_low_err</t>
  </si>
  <si>
    <t>pB_anion_low_pH_%</t>
  </si>
  <si>
    <t>pB_anion_low_pH_err_%</t>
  </si>
  <si>
    <t>pB_7p4_avg</t>
  </si>
  <si>
    <t>pB_7p4_avg_err</t>
  </si>
  <si>
    <t>Seq_T</t>
  </si>
  <si>
    <t>Seq_G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</si>
</sst>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4"/>
      <color theme="1"/>
      <name val="Arial"/>
      <family val="2"/>
    </font>
    <font>
      <sz val="12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8" tint="-0.249977111117893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1" xfId="0" applyFont="1" applyBorder="1"/>
    <xf numFmtId="0" fontId="1" fillId="0" borderId="5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2" fillId="0" borderId="0" xfId="0" applyFont="1"/>
    <xf numFmtId="0" fontId="2" fillId="0" borderId="11" xfId="0" applyFont="1" applyBorder="1"/>
    <xf numFmtId="0" fontId="2" fillId="0" borderId="16" xfId="0" applyFont="1" applyBorder="1"/>
    <xf numFmtId="0" fontId="2" fillId="0" borderId="13" xfId="0" applyFont="1" applyBorder="1"/>
    <xf numFmtId="0" fontId="2" fillId="0" borderId="12" xfId="0" applyFont="1" applyBorder="1"/>
    <xf numFmtId="0" fontId="2" fillId="0" borderId="14" xfId="0" applyFont="1" applyBorder="1"/>
    <xf numFmtId="0" fontId="2" fillId="0" borderId="15" xfId="0" applyFont="1" applyBorder="1"/>
    <xf numFmtId="0" fontId="2" fillId="0" borderId="6" xfId="0" applyFont="1" applyBorder="1"/>
    <xf numFmtId="0" fontId="2" fillId="0" borderId="9" xfId="0" applyFont="1" applyBorder="1"/>
    <xf numFmtId="20" fontId="2" fillId="0" borderId="14" xfId="0" applyNumberFormat="1" applyFont="1" applyBorder="1"/>
    <xf numFmtId="0" fontId="2" fillId="0" borderId="17" xfId="0" applyFont="1" applyBorder="1"/>
    <xf numFmtId="0" fontId="2" fillId="0" borderId="20" xfId="0" applyFont="1" applyBorder="1"/>
    <xf numFmtId="0" fontId="2" fillId="0" borderId="23" xfId="0" applyFont="1" applyBorder="1"/>
    <xf numFmtId="0" fontId="2" fillId="0" borderId="8" xfId="0" applyFont="1" applyBorder="1"/>
    <xf numFmtId="0" fontId="2" fillId="0" borderId="7" xfId="0" applyFont="1" applyBorder="1"/>
    <xf numFmtId="0" fontId="2" fillId="0" borderId="10" xfId="0" applyFont="1" applyBorder="1"/>
    <xf numFmtId="0" fontId="2" fillId="0" borderId="22" xfId="0" applyFont="1" applyBorder="1"/>
    <xf numFmtId="0" fontId="2" fillId="0" borderId="19" xfId="0" applyFont="1" applyBorder="1"/>
    <xf numFmtId="0" fontId="2" fillId="0" borderId="18" xfId="0" applyFont="1" applyBorder="1"/>
    <xf numFmtId="0" fontId="2" fillId="0" borderId="21" xfId="0" applyFont="1" applyBorder="1"/>
    <xf numFmtId="0" fontId="1" fillId="0" borderId="24" xfId="0" applyFont="1" applyBorder="1"/>
    <xf numFmtId="0" fontId="2" fillId="2" borderId="11" xfId="0" applyFont="1" applyFill="1" applyBorder="1"/>
    <xf numFmtId="0" fontId="2" fillId="2" borderId="14" xfId="0" applyFont="1" applyFill="1" applyBorder="1"/>
    <xf numFmtId="0" fontId="2" fillId="3" borderId="11" xfId="0" applyFont="1" applyFill="1" applyBorder="1"/>
    <xf numFmtId="0" fontId="2" fillId="3" borderId="14" xfId="0" applyFont="1" applyFill="1" applyBorder="1"/>
    <xf numFmtId="0" fontId="2" fillId="4" borderId="11" xfId="0" applyFont="1" applyFill="1" applyBorder="1"/>
    <xf numFmtId="0" fontId="2" fillId="4" borderId="14" xfId="0" applyFont="1" applyFill="1" applyBorder="1"/>
    <xf numFmtId="0" fontId="2" fillId="5" borderId="11" xfId="0" applyFont="1" applyFill="1" applyBorder="1"/>
    <xf numFmtId="0" fontId="2" fillId="5" borderId="14" xfId="0" applyFont="1" applyFill="1" applyBorder="1"/>
    <xf numFmtId="0" fontId="2" fillId="3" borderId="17" xfId="0" applyFont="1" applyFill="1" applyBorder="1"/>
    <xf numFmtId="0" fontId="2" fillId="3" borderId="20" xfId="0" applyFont="1" applyFill="1" applyBorder="1"/>
    <xf numFmtId="0" fontId="2" fillId="6" borderId="17" xfId="0" applyFont="1" applyFill="1" applyBorder="1"/>
    <xf numFmtId="0" fontId="2" fillId="6" borderId="20" xfId="0" applyFont="1" applyFill="1" applyBorder="1"/>
    <xf numFmtId="0" fontId="2" fillId="6" borderId="11" xfId="0" applyFont="1" applyFill="1" applyBorder="1"/>
    <xf numFmtId="0" fontId="2" fillId="6" borderId="14" xfId="0" applyFont="1" applyFill="1" applyBorder="1"/>
    <xf numFmtId="0" fontId="2" fillId="4" borderId="6" xfId="0" applyFont="1" applyFill="1" applyBorder="1"/>
    <xf numFmtId="0" fontId="2" fillId="4" borderId="9" xfId="0" applyFont="1" applyFill="1" applyBorder="1"/>
    <xf numFmtId="0" fontId="1" fillId="0" borderId="2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70A46-AEF6-1A42-83A3-178C51BAE96E}">
  <dimension ref="A1:R17"/>
  <sheetViews>
    <sheetView tabSelected="1" zoomScale="109" workbookViewId="0">
      <selection activeCell="E3" sqref="E3:F3"/>
    </sheetView>
  </sheetViews>
  <sheetFormatPr baseColWidth="10" defaultRowHeight="16" x14ac:dyDescent="0.2"/>
  <cols>
    <col min="1" max="1" width="10.5" style="6" customWidth="1"/>
    <col min="2" max="2" width="14.1640625" style="6" bestFit="1" customWidth="1"/>
    <col min="3" max="3" width="12" style="6" customWidth="1"/>
    <col min="4" max="4" width="14" style="6" bestFit="1" customWidth="1"/>
    <col min="5" max="5" width="25.6640625" style="6" bestFit="1" customWidth="1"/>
    <col min="6" max="6" width="30.1640625" style="6" bestFit="1" customWidth="1"/>
    <col min="7" max="7" width="12.5" style="6" customWidth="1"/>
    <col min="8" max="8" width="15.1640625" style="6" bestFit="1" customWidth="1"/>
    <col min="9" max="9" width="26.1640625" style="6" customWidth="1"/>
    <col min="10" max="10" width="32.1640625" style="6" bestFit="1" customWidth="1"/>
    <col min="11" max="11" width="15.5" style="6" bestFit="1" customWidth="1"/>
    <col min="12" max="12" width="20" style="6" bestFit="1" customWidth="1"/>
    <col min="13" max="13" width="16.83203125" style="6" bestFit="1" customWidth="1"/>
    <col min="14" max="14" width="21.1640625" style="6" bestFit="1" customWidth="1"/>
    <col min="15" max="15" width="14" style="6" customWidth="1"/>
    <col min="16" max="16" width="15.5" style="6" bestFit="1" customWidth="1"/>
    <col min="17" max="17" width="15.33203125" style="6" bestFit="1" customWidth="1"/>
    <col min="18" max="18" width="19.83203125" style="6" bestFit="1" customWidth="1"/>
    <col min="19" max="16384" width="10.83203125" style="6"/>
  </cols>
  <sheetData>
    <row r="1" spans="1:18" ht="28" customHeight="1" thickBot="1" x14ac:dyDescent="0.25">
      <c r="A1" s="1" t="s">
        <v>49</v>
      </c>
      <c r="B1" s="2" t="s">
        <v>48</v>
      </c>
      <c r="C1" s="3" t="s">
        <v>42</v>
      </c>
      <c r="D1" s="3" t="s">
        <v>43</v>
      </c>
      <c r="E1" s="1" t="s">
        <v>44</v>
      </c>
      <c r="F1" s="4" t="s">
        <v>45</v>
      </c>
      <c r="G1" s="3" t="s">
        <v>33</v>
      </c>
      <c r="H1" s="3" t="s">
        <v>34</v>
      </c>
      <c r="I1" s="1" t="s">
        <v>36</v>
      </c>
      <c r="J1" s="4" t="s">
        <v>35</v>
      </c>
      <c r="K1" s="1" t="s">
        <v>40</v>
      </c>
      <c r="L1" s="5" t="s">
        <v>41</v>
      </c>
      <c r="M1" s="1" t="s">
        <v>37</v>
      </c>
      <c r="N1" s="5" t="s">
        <v>38</v>
      </c>
      <c r="O1" s="1" t="s">
        <v>0</v>
      </c>
      <c r="P1" s="4" t="s">
        <v>39</v>
      </c>
      <c r="Q1" s="26" t="s">
        <v>46</v>
      </c>
      <c r="R1" s="43" t="s">
        <v>47</v>
      </c>
    </row>
    <row r="2" spans="1:18" ht="28" customHeight="1" x14ac:dyDescent="0.2">
      <c r="A2" s="13" t="s">
        <v>9</v>
      </c>
      <c r="B2" s="18" t="s">
        <v>17</v>
      </c>
      <c r="C2" s="19">
        <v>8.02</v>
      </c>
      <c r="D2" s="20">
        <v>0.15</v>
      </c>
      <c r="E2" s="41">
        <v>57.840276796820199</v>
      </c>
      <c r="F2" s="42">
        <v>2.6542466350416301</v>
      </c>
      <c r="G2" s="20"/>
      <c r="H2" s="20"/>
      <c r="I2" s="13"/>
      <c r="J2" s="14"/>
      <c r="K2" s="13">
        <f t="shared" ref="K2:K13" si="0">C2-LOG10(E2/(100-E2))</f>
        <v>7.8826673882586835</v>
      </c>
      <c r="L2" s="21">
        <f t="shared" ref="L2:L13" si="1">SQRT(D2^2+1/((LN(10))^2)*((F2/E2)^2+(F2/(100-E2))^2))</f>
        <v>0.15376852528033208</v>
      </c>
      <c r="M2" s="13"/>
      <c r="N2" s="14"/>
      <c r="O2" s="13">
        <f t="shared" ref="O2:O17" si="2">AVERAGE(K2,M2)</f>
        <v>7.8826673882586835</v>
      </c>
      <c r="P2" s="21">
        <f>L2</f>
        <v>0.15376852528033208</v>
      </c>
      <c r="Q2" s="13">
        <f>(10^(7.4-O2))/(1+10^(7.4-O2))</f>
        <v>0.24761319425296832</v>
      </c>
      <c r="R2" s="14">
        <f>Q2*SQRT((P2*LN(10))^2+((10^(7.4 - O2)*(P2*LN(10)))/(1+10^(7.4- O2)))^2)</f>
        <v>9.0318874732834231E-2</v>
      </c>
    </row>
    <row r="3" spans="1:18" ht="28" customHeight="1" x14ac:dyDescent="0.2">
      <c r="A3" s="7" t="s">
        <v>1</v>
      </c>
      <c r="B3" s="8" t="s">
        <v>18</v>
      </c>
      <c r="C3" s="9">
        <f>AVERAGE(7.96,7.98)</f>
        <v>7.9700000000000006</v>
      </c>
      <c r="D3" s="10">
        <v>0.2</v>
      </c>
      <c r="E3" s="31">
        <v>53.901236532709198</v>
      </c>
      <c r="F3" s="32">
        <v>1.0812580742819899</v>
      </c>
      <c r="G3" s="10"/>
      <c r="H3" s="10"/>
      <c r="I3" s="7"/>
      <c r="J3" s="11"/>
      <c r="K3" s="7">
        <f t="shared" si="0"/>
        <v>7.9020905478986645</v>
      </c>
      <c r="L3" s="12">
        <f t="shared" si="1"/>
        <v>0.20044865283462632</v>
      </c>
      <c r="M3" s="7"/>
      <c r="N3" s="11"/>
      <c r="O3" s="7">
        <f t="shared" si="2"/>
        <v>7.9020905478986645</v>
      </c>
      <c r="P3" s="12">
        <f>L3</f>
        <v>0.20044865283462632</v>
      </c>
      <c r="Q3" s="7">
        <f t="shared" ref="Q3:Q17" si="3">(10^(7.4-O3))/(1+10^(7.4-O3))</f>
        <v>0.23937552672079437</v>
      </c>
      <c r="R3" s="11">
        <f t="shared" ref="R3:R17" si="4">Q3*SQRT((P3*LN(10))^2+((10^(7.4 - O3)*(P3*LN(10)))/(1+10^(7.4- O3)))^2)</f>
        <v>0.11360509928089794</v>
      </c>
    </row>
    <row r="4" spans="1:18" ht="28" customHeight="1" x14ac:dyDescent="0.2">
      <c r="A4" s="7" t="s">
        <v>8</v>
      </c>
      <c r="B4" s="8" t="s">
        <v>19</v>
      </c>
      <c r="C4" s="9">
        <v>8.07</v>
      </c>
      <c r="D4" s="9">
        <v>0.15</v>
      </c>
      <c r="E4" s="29">
        <v>58.403182224657797</v>
      </c>
      <c r="F4" s="30">
        <v>1.9001274065275899</v>
      </c>
      <c r="G4" s="10"/>
      <c r="H4" s="10"/>
      <c r="I4" s="7"/>
      <c r="J4" s="12"/>
      <c r="K4" s="7">
        <f t="shared" si="0"/>
        <v>7.9226235964203076</v>
      </c>
      <c r="L4" s="12">
        <f t="shared" si="1"/>
        <v>0.15196449857002811</v>
      </c>
      <c r="M4" s="7"/>
      <c r="N4" s="11"/>
      <c r="O4" s="7">
        <f t="shared" si="2"/>
        <v>7.9226235964203076</v>
      </c>
      <c r="P4" s="12">
        <f>L4</f>
        <v>0.15196449857002811</v>
      </c>
      <c r="Q4" s="7">
        <f t="shared" si="3"/>
        <v>0.23087353755385218</v>
      </c>
      <c r="R4" s="11">
        <f t="shared" si="4"/>
        <v>8.2910314715463507E-2</v>
      </c>
    </row>
    <row r="5" spans="1:18" ht="28" customHeight="1" x14ac:dyDescent="0.2">
      <c r="A5" s="7" t="s">
        <v>5</v>
      </c>
      <c r="B5" s="8" t="s">
        <v>20</v>
      </c>
      <c r="C5" s="9">
        <v>8.1</v>
      </c>
      <c r="D5" s="9">
        <v>0.2</v>
      </c>
      <c r="E5" s="27">
        <v>45.023300075526002</v>
      </c>
      <c r="F5" s="28">
        <v>1.21906535477539</v>
      </c>
      <c r="G5" s="10"/>
      <c r="H5" s="10"/>
      <c r="I5" s="7"/>
      <c r="J5" s="11"/>
      <c r="K5" s="7">
        <f t="shared" si="0"/>
        <v>8.1867413426407563</v>
      </c>
      <c r="L5" s="12">
        <f t="shared" si="1"/>
        <v>0.20057670845478362</v>
      </c>
      <c r="M5" s="7"/>
      <c r="N5" s="11"/>
      <c r="O5" s="7">
        <f t="shared" si="2"/>
        <v>8.1867413426407563</v>
      </c>
      <c r="P5" s="12">
        <f>L5</f>
        <v>0.20057670845478362</v>
      </c>
      <c r="Q5" s="7">
        <f t="shared" si="3"/>
        <v>0.14045224008490959</v>
      </c>
      <c r="R5" s="11">
        <f t="shared" si="4"/>
        <v>6.550384335694423E-2</v>
      </c>
    </row>
    <row r="6" spans="1:18" ht="28" customHeight="1" x14ac:dyDescent="0.2">
      <c r="A6" s="7" t="s">
        <v>2</v>
      </c>
      <c r="B6" s="8" t="s">
        <v>21</v>
      </c>
      <c r="C6" s="9">
        <f>AVERAGE(8.11,8.13)</f>
        <v>8.120000000000001</v>
      </c>
      <c r="D6" s="9">
        <v>0.2</v>
      </c>
      <c r="E6" s="31">
        <v>46.591623397720902</v>
      </c>
      <c r="F6" s="32">
        <v>1.4145868338064</v>
      </c>
      <c r="G6" s="10"/>
      <c r="H6" s="10"/>
      <c r="I6" s="7"/>
      <c r="J6" s="11"/>
      <c r="K6" s="7">
        <f t="shared" si="0"/>
        <v>8.1793015344930478</v>
      </c>
      <c r="L6" s="12">
        <f t="shared" si="1"/>
        <v>0.20076399079780236</v>
      </c>
      <c r="M6" s="7"/>
      <c r="N6" s="11"/>
      <c r="O6" s="7">
        <f t="shared" si="2"/>
        <v>8.1793015344930478</v>
      </c>
      <c r="P6" s="12">
        <f>L6</f>
        <v>0.20076399079780236</v>
      </c>
      <c r="Q6" s="7">
        <f t="shared" si="3"/>
        <v>0.14253312786599251</v>
      </c>
      <c r="R6" s="11">
        <f t="shared" si="4"/>
        <v>6.6555600708146492E-2</v>
      </c>
    </row>
    <row r="7" spans="1:18" ht="28" customHeight="1" x14ac:dyDescent="0.2">
      <c r="A7" s="7" t="s">
        <v>7</v>
      </c>
      <c r="B7" s="8" t="s">
        <v>22</v>
      </c>
      <c r="C7" s="9">
        <v>8.0500000000000007</v>
      </c>
      <c r="D7" s="9">
        <v>0.2</v>
      </c>
      <c r="E7" s="27">
        <v>43.218936536348998</v>
      </c>
      <c r="F7" s="28">
        <v>1.9998934841434099</v>
      </c>
      <c r="G7" s="10">
        <v>8.75</v>
      </c>
      <c r="H7" s="10">
        <v>0.08</v>
      </c>
      <c r="I7" s="33">
        <v>70.999735040191197</v>
      </c>
      <c r="J7" s="34">
        <v>1.68848023213786</v>
      </c>
      <c r="K7" s="7">
        <f t="shared" si="0"/>
        <v>8.1685294460095754</v>
      </c>
      <c r="L7" s="12">
        <f t="shared" si="1"/>
        <v>0.20158829648042051</v>
      </c>
      <c r="M7" s="7">
        <f>G7-LOG10(I7/(100-I7))</f>
        <v>8.3611452378283477</v>
      </c>
      <c r="N7" s="11">
        <f>SQRT(H7^2+1/((LN(10))^2)*((J7/I7)^2+(J7/(100-I7))^2))</f>
        <v>8.4534298722335699E-2</v>
      </c>
      <c r="O7" s="7">
        <f t="shared" si="2"/>
        <v>8.2648373419189625</v>
      </c>
      <c r="P7" s="12">
        <f>STDEV(K7,M7)</f>
        <v>0.13619993255867022</v>
      </c>
      <c r="Q7" s="7">
        <f t="shared" si="3"/>
        <v>0.1201128892846071</v>
      </c>
      <c r="R7" s="11">
        <f t="shared" si="4"/>
        <v>3.7939588648117459E-2</v>
      </c>
    </row>
    <row r="8" spans="1:18" ht="28" customHeight="1" x14ac:dyDescent="0.2">
      <c r="A8" s="7" t="s">
        <v>6</v>
      </c>
      <c r="B8" s="8" t="s">
        <v>23</v>
      </c>
      <c r="C8" s="9">
        <v>8.08</v>
      </c>
      <c r="D8" s="9">
        <v>0.2</v>
      </c>
      <c r="E8" s="31">
        <v>41.376873209574597</v>
      </c>
      <c r="F8" s="32">
        <v>1.42918046960899</v>
      </c>
      <c r="G8" s="10"/>
      <c r="H8" s="10"/>
      <c r="I8" s="7"/>
      <c r="J8" s="11"/>
      <c r="K8" s="7">
        <f t="shared" si="0"/>
        <v>8.2313113101852764</v>
      </c>
      <c r="L8" s="12">
        <f t="shared" si="1"/>
        <v>0.20084103928906177</v>
      </c>
      <c r="M8" s="7"/>
      <c r="N8" s="11"/>
      <c r="O8" s="7">
        <f t="shared" si="2"/>
        <v>8.2313113101852764</v>
      </c>
      <c r="P8" s="12">
        <f>L8</f>
        <v>0.20084103928906177</v>
      </c>
      <c r="Q8" s="7">
        <f t="shared" si="3"/>
        <v>0.12851365530222514</v>
      </c>
      <c r="R8" s="11">
        <f t="shared" si="4"/>
        <v>5.9920369553580606E-2</v>
      </c>
    </row>
    <row r="9" spans="1:18" ht="28" customHeight="1" x14ac:dyDescent="0.2">
      <c r="A9" s="7" t="s">
        <v>4</v>
      </c>
      <c r="B9" s="8" t="s">
        <v>24</v>
      </c>
      <c r="C9" s="9">
        <v>8.11</v>
      </c>
      <c r="D9" s="9">
        <v>0.2</v>
      </c>
      <c r="E9" s="31">
        <v>34.453661131576297</v>
      </c>
      <c r="F9" s="32">
        <v>1.6157519949000101</v>
      </c>
      <c r="G9" s="10">
        <v>9.2200000000000006</v>
      </c>
      <c r="H9" s="10">
        <v>0.08</v>
      </c>
      <c r="I9" s="33">
        <v>75.743176850551393</v>
      </c>
      <c r="J9" s="34">
        <v>2.1312140998586599</v>
      </c>
      <c r="K9" s="7">
        <f t="shared" si="0"/>
        <v>8.3893130610090694</v>
      </c>
      <c r="L9" s="12">
        <f t="shared" si="1"/>
        <v>0.20131919376391108</v>
      </c>
      <c r="M9" s="7">
        <f t="shared" ref="M9:M17" si="5">G9-LOG10(I9/(100-I9))</f>
        <v>8.7254904053613238</v>
      </c>
      <c r="N9" s="11">
        <f t="shared" ref="N9:N17" si="6">SQRT(H9^2+1/((LN(10))^2)*((J9/I9)^2+(J9/(100-I9))^2))</f>
        <v>8.9472367451251408E-2</v>
      </c>
      <c r="O9" s="7">
        <f t="shared" si="2"/>
        <v>8.5574017331851966</v>
      </c>
      <c r="P9" s="12">
        <f>STDEV(K9,M9)</f>
        <v>0.23771327987276422</v>
      </c>
      <c r="Q9" s="7">
        <f t="shared" si="3"/>
        <v>6.5069517526251952E-2</v>
      </c>
      <c r="R9" s="11">
        <f t="shared" si="4"/>
        <v>3.5691449773506141E-2</v>
      </c>
    </row>
    <row r="10" spans="1:18" ht="28" customHeight="1" x14ac:dyDescent="0.2">
      <c r="A10" s="7" t="s">
        <v>14</v>
      </c>
      <c r="B10" s="8" t="s">
        <v>25</v>
      </c>
      <c r="C10" s="9">
        <v>8.26</v>
      </c>
      <c r="D10" s="9">
        <v>0.08</v>
      </c>
      <c r="E10" s="27">
        <v>28.478258043414002</v>
      </c>
      <c r="F10" s="28">
        <v>1.3312827243296901</v>
      </c>
      <c r="G10" s="10">
        <v>8.9600000000000009</v>
      </c>
      <c r="H10" s="10">
        <v>0.08</v>
      </c>
      <c r="I10" s="33">
        <v>63.468990875543597</v>
      </c>
      <c r="J10" s="34">
        <v>0.95829439640020597</v>
      </c>
      <c r="K10" s="7">
        <f t="shared" si="0"/>
        <v>8.6599246625540793</v>
      </c>
      <c r="L10" s="12">
        <f t="shared" si="1"/>
        <v>8.2930837463707371E-2</v>
      </c>
      <c r="M10" s="7">
        <f t="shared" si="5"/>
        <v>8.7201000759226588</v>
      </c>
      <c r="N10" s="11">
        <f t="shared" si="6"/>
        <v>8.1072733364155145E-2</v>
      </c>
      <c r="O10" s="7">
        <f t="shared" si="2"/>
        <v>8.6900123692383691</v>
      </c>
      <c r="P10" s="12">
        <f>STDEV(K10,M10)</f>
        <v>4.2550442853626164E-2</v>
      </c>
      <c r="Q10" s="7">
        <f t="shared" si="3"/>
        <v>4.8782864255935865E-2</v>
      </c>
      <c r="R10" s="11">
        <f t="shared" si="4"/>
        <v>4.78523439133695E-3</v>
      </c>
    </row>
    <row r="11" spans="1:18" ht="28" customHeight="1" x14ac:dyDescent="0.2">
      <c r="A11" s="7" t="s">
        <v>15</v>
      </c>
      <c r="B11" s="8" t="s">
        <v>26</v>
      </c>
      <c r="C11" s="10">
        <v>8.3699999999999992</v>
      </c>
      <c r="D11" s="9">
        <v>0.08</v>
      </c>
      <c r="E11" s="27">
        <v>24.171782101266</v>
      </c>
      <c r="F11" s="28">
        <v>1.72721674004445</v>
      </c>
      <c r="G11" s="10">
        <v>8.92</v>
      </c>
      <c r="H11" s="10">
        <v>0.08</v>
      </c>
      <c r="I11" s="27">
        <v>39.524548485310497</v>
      </c>
      <c r="J11" s="28">
        <v>1.2684294735345101</v>
      </c>
      <c r="K11" s="7">
        <f t="shared" si="0"/>
        <v>8.866522178788113</v>
      </c>
      <c r="L11" s="12">
        <f t="shared" si="1"/>
        <v>8.6376503537771668E-2</v>
      </c>
      <c r="M11" s="7">
        <f t="shared" si="5"/>
        <v>9.1047122021207709</v>
      </c>
      <c r="N11" s="11">
        <f t="shared" si="6"/>
        <v>8.1714301436880368E-2</v>
      </c>
      <c r="O11" s="7">
        <f t="shared" si="2"/>
        <v>8.9856171904544411</v>
      </c>
      <c r="P11" s="12">
        <f>STDEV(K11,M11)</f>
        <v>0.1684257807095044</v>
      </c>
      <c r="Q11" s="7">
        <f t="shared" si="3"/>
        <v>2.5307567494312601E-2</v>
      </c>
      <c r="R11" s="11">
        <f t="shared" si="4"/>
        <v>9.8177889963108923E-3</v>
      </c>
    </row>
    <row r="12" spans="1:18" ht="28" customHeight="1" x14ac:dyDescent="0.2">
      <c r="A12" s="7" t="s">
        <v>3</v>
      </c>
      <c r="B12" s="8" t="s">
        <v>27</v>
      </c>
      <c r="C12" s="9">
        <v>8.1999999999999993</v>
      </c>
      <c r="D12" s="9">
        <v>0.2</v>
      </c>
      <c r="E12" s="29">
        <v>14.2034788215096</v>
      </c>
      <c r="F12" s="30">
        <v>1.8097249378279401</v>
      </c>
      <c r="G12" s="10">
        <v>8.91</v>
      </c>
      <c r="H12" s="10">
        <v>0.08</v>
      </c>
      <c r="I12" s="39">
        <v>37.265090360178696</v>
      </c>
      <c r="J12" s="40">
        <v>1.33954561914383</v>
      </c>
      <c r="K12" s="7">
        <f t="shared" si="0"/>
        <v>8.9810749506743104</v>
      </c>
      <c r="L12" s="12">
        <f t="shared" si="1"/>
        <v>0.20771593985924947</v>
      </c>
      <c r="M12" s="7">
        <f t="shared" si="5"/>
        <v>9.136207098151278</v>
      </c>
      <c r="N12" s="11">
        <f t="shared" si="6"/>
        <v>8.2034789706724537E-2</v>
      </c>
      <c r="O12" s="7">
        <f t="shared" si="2"/>
        <v>9.0586410244127933</v>
      </c>
      <c r="P12" s="12">
        <f>STDEV(K12,M12)</f>
        <v>0.10969499346099533</v>
      </c>
      <c r="Q12" s="7">
        <f t="shared" si="3"/>
        <v>2.1474890108655512E-2</v>
      </c>
      <c r="R12" s="11">
        <f t="shared" si="4"/>
        <v>5.4254225024343086E-3</v>
      </c>
    </row>
    <row r="13" spans="1:18" ht="28" customHeight="1" x14ac:dyDescent="0.2">
      <c r="A13" s="7" t="s">
        <v>16</v>
      </c>
      <c r="B13" s="8" t="s">
        <v>28</v>
      </c>
      <c r="C13" s="9">
        <v>8.3800000000000008</v>
      </c>
      <c r="D13" s="9">
        <v>0.08</v>
      </c>
      <c r="E13" s="33">
        <v>13.490104060762601</v>
      </c>
      <c r="F13" s="34">
        <v>1.87522513762025</v>
      </c>
      <c r="G13" s="10">
        <v>8.9499999999999993</v>
      </c>
      <c r="H13" s="10">
        <v>0.08</v>
      </c>
      <c r="I13" s="27">
        <v>39.798520124868901</v>
      </c>
      <c r="J13" s="28">
        <v>1.38916571627741</v>
      </c>
      <c r="K13" s="7">
        <f t="shared" si="0"/>
        <v>9.1870504898436209</v>
      </c>
      <c r="L13" s="12">
        <f t="shared" si="1"/>
        <v>0.10066369944281887</v>
      </c>
      <c r="M13" s="7">
        <f t="shared" si="5"/>
        <v>9.1297402437410007</v>
      </c>
      <c r="N13" s="11">
        <f t="shared" si="6"/>
        <v>8.2037954502969815E-2</v>
      </c>
      <c r="O13" s="7">
        <f t="shared" si="2"/>
        <v>9.1583953667923108</v>
      </c>
      <c r="P13" s="12">
        <f>STDEV(K13,M13)</f>
        <v>4.052446365063269E-2</v>
      </c>
      <c r="Q13" s="7">
        <f t="shared" si="3"/>
        <v>1.7143315929410225E-2</v>
      </c>
      <c r="R13" s="11">
        <f t="shared" si="4"/>
        <v>1.5998954442143674E-3</v>
      </c>
    </row>
    <row r="14" spans="1:18" ht="28" customHeight="1" x14ac:dyDescent="0.2">
      <c r="A14" s="7" t="s">
        <v>13</v>
      </c>
      <c r="B14" s="8" t="s">
        <v>29</v>
      </c>
      <c r="C14" s="9">
        <v>8.07</v>
      </c>
      <c r="D14" s="9">
        <v>0.1</v>
      </c>
      <c r="E14" s="7"/>
      <c r="F14" s="15"/>
      <c r="G14" s="10">
        <v>8.92</v>
      </c>
      <c r="H14" s="10">
        <v>0.08</v>
      </c>
      <c r="I14" s="27">
        <v>33.5405709632916</v>
      </c>
      <c r="J14" s="28">
        <v>0.88672095028963405</v>
      </c>
      <c r="K14" s="7"/>
      <c r="L14" s="12"/>
      <c r="M14" s="7">
        <f t="shared" si="5"/>
        <v>9.2169861545114529</v>
      </c>
      <c r="N14" s="11">
        <f t="shared" si="6"/>
        <v>8.1027169565857204E-2</v>
      </c>
      <c r="O14" s="7">
        <f t="shared" si="2"/>
        <v>9.2169861545114529</v>
      </c>
      <c r="P14" s="12">
        <f>N14</f>
        <v>8.1027169565857204E-2</v>
      </c>
      <c r="Q14" s="7">
        <f t="shared" si="3"/>
        <v>1.5012212094078039E-2</v>
      </c>
      <c r="R14" s="11">
        <f t="shared" si="4"/>
        <v>2.801173317775314E-3</v>
      </c>
    </row>
    <row r="15" spans="1:18" ht="28" customHeight="1" x14ac:dyDescent="0.2">
      <c r="A15" s="7" t="s">
        <v>12</v>
      </c>
      <c r="B15" s="8" t="s">
        <v>30</v>
      </c>
      <c r="C15" s="9">
        <v>8.1300000000000008</v>
      </c>
      <c r="D15" s="9">
        <v>0.1</v>
      </c>
      <c r="E15" s="7"/>
      <c r="F15" s="15"/>
      <c r="G15" s="10">
        <v>8.99</v>
      </c>
      <c r="H15" s="10">
        <v>0.08</v>
      </c>
      <c r="I15" s="27">
        <v>35.396413570686398</v>
      </c>
      <c r="J15" s="28">
        <v>1.1236168526765999</v>
      </c>
      <c r="K15" s="7"/>
      <c r="L15" s="12"/>
      <c r="M15" s="7">
        <f t="shared" si="5"/>
        <v>9.2512973675174717</v>
      </c>
      <c r="N15" s="11">
        <f t="shared" si="6"/>
        <v>8.1529828570365698E-2</v>
      </c>
      <c r="O15" s="7">
        <f t="shared" si="2"/>
        <v>9.2512973675174717</v>
      </c>
      <c r="P15" s="12">
        <f>N15</f>
        <v>8.1529828570365698E-2</v>
      </c>
      <c r="Q15" s="7">
        <f t="shared" si="3"/>
        <v>1.3887658438895847E-2</v>
      </c>
      <c r="R15" s="11">
        <f t="shared" si="4"/>
        <v>2.6073727421405124E-3</v>
      </c>
    </row>
    <row r="16" spans="1:18" ht="28" customHeight="1" x14ac:dyDescent="0.2">
      <c r="A16" s="7" t="s">
        <v>11</v>
      </c>
      <c r="B16" s="8" t="s">
        <v>31</v>
      </c>
      <c r="C16" s="9">
        <v>8.08</v>
      </c>
      <c r="D16" s="9">
        <v>0.1</v>
      </c>
      <c r="E16" s="27">
        <v>2.3843966927021998</v>
      </c>
      <c r="F16" s="28">
        <v>1.11452833846502</v>
      </c>
      <c r="G16" s="10">
        <v>9.1</v>
      </c>
      <c r="H16" s="10">
        <v>0.08</v>
      </c>
      <c r="I16" s="27">
        <v>24.495474268377301</v>
      </c>
      <c r="J16" s="28">
        <v>1.4322734187796999</v>
      </c>
      <c r="K16" s="7">
        <f>C16-LOG10(E16/(100-E16))</f>
        <v>9.6921407319892587</v>
      </c>
      <c r="L16" s="12">
        <f>SQRT(D16^2+1/((LN(10))^2)*((F16/E16)^2+(F16/(100-E16))^2))</f>
        <v>0.22634874427261942</v>
      </c>
      <c r="M16" s="7">
        <f t="shared" si="5"/>
        <v>9.5888871315120188</v>
      </c>
      <c r="N16" s="11">
        <f t="shared" si="6"/>
        <v>8.4336852838342607E-2</v>
      </c>
      <c r="O16" s="7">
        <f t="shared" si="2"/>
        <v>9.6405139317506396</v>
      </c>
      <c r="P16" s="12">
        <f>STDEV(K16,M16)</f>
        <v>7.3011321079382921E-2</v>
      </c>
      <c r="Q16" s="7">
        <f t="shared" si="3"/>
        <v>5.7147477593613456E-3</v>
      </c>
      <c r="R16" s="11">
        <f t="shared" si="4"/>
        <v>9.6074924753015284E-4</v>
      </c>
    </row>
    <row r="17" spans="1:18" ht="28" customHeight="1" thickBot="1" x14ac:dyDescent="0.25">
      <c r="A17" s="16" t="s">
        <v>10</v>
      </c>
      <c r="B17" s="22" t="s">
        <v>32</v>
      </c>
      <c r="C17" s="23">
        <f>AVERAGE(9.14,8.97)</f>
        <v>9.0549999999999997</v>
      </c>
      <c r="D17" s="23">
        <v>0.08</v>
      </c>
      <c r="E17" s="35">
        <v>19.8035467764843</v>
      </c>
      <c r="F17" s="36">
        <v>2.71947070272837</v>
      </c>
      <c r="G17" s="24">
        <v>9.36</v>
      </c>
      <c r="H17" s="24">
        <v>0.08</v>
      </c>
      <c r="I17" s="37">
        <v>30.776672934916299</v>
      </c>
      <c r="J17" s="38">
        <v>1.8295837418527101</v>
      </c>
      <c r="K17" s="16">
        <f>C17-LOG10(E17/(100-E17))</f>
        <v>9.6624121830373575</v>
      </c>
      <c r="L17" s="25">
        <f>SQRT(D17^2+1/((LN(10))^2)*((F17/E17)^2+(F17/(100-E17))^2))</f>
        <v>0.10086435530008761</v>
      </c>
      <c r="M17" s="16">
        <f t="shared" si="5"/>
        <v>9.7120307995637933</v>
      </c>
      <c r="N17" s="17">
        <f t="shared" si="6"/>
        <v>8.4842801448171121E-2</v>
      </c>
      <c r="O17" s="16">
        <f t="shared" si="2"/>
        <v>9.6872214913005763</v>
      </c>
      <c r="P17" s="25">
        <f>STDEV(K17,M17)</f>
        <v>3.5085660218937685E-2</v>
      </c>
      <c r="Q17" s="16">
        <f t="shared" si="3"/>
        <v>5.1350260333295379E-3</v>
      </c>
      <c r="R17" s="17">
        <f t="shared" si="4"/>
        <v>4.1485250552931552E-4</v>
      </c>
    </row>
  </sheetData>
  <sortState xmlns:xlrd2="http://schemas.microsoft.com/office/spreadsheetml/2017/richdata2" ref="A2:P49">
    <sortCondition ref="O2:O49"/>
  </sortState>
  <pageMargins left="0.7" right="0.7" top="0.75" bottom="0.75" header="0.3" footer="0.3"/>
  <ignoredErrors>
    <ignoredError sqref="P7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Calculated-from-orig-fits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Szekely, Ph.D.</dc:creator>
  <cp:lastModifiedBy>Pablo Szekely</cp:lastModifiedBy>
  <dcterms:created xsi:type="dcterms:W3CDTF">2025-07-10T16:13:37Z</dcterms:created>
  <dcterms:modified xsi:type="dcterms:W3CDTF">2026-01-22T19:32:34Z</dcterms:modified>
</cp:coreProperties>
</file>